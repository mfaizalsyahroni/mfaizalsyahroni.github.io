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uhammadfaizal\Desktop\Portofolio\"/>
    </mc:Choice>
  </mc:AlternateContent>
  <xr:revisionPtr revIDLastSave="0" documentId="8_{C2EC11D2-F3CB-40DF-81B7-50EA00760827}" xr6:coauthVersionLast="47" xr6:coauthVersionMax="47" xr10:uidLastSave="{00000000-0000-0000-0000-000000000000}"/>
  <bookViews>
    <workbookView xWindow="-110" yWindow="-110" windowWidth="19420" windowHeight="10420" tabRatio="756" activeTab="4" xr2:uid="{00000000-000D-0000-FFFF-FFFF00000000}"/>
  </bookViews>
  <sheets>
    <sheet name="Graphic" sheetId="17" r:id="rId1"/>
    <sheet name="ABC GRADE" sheetId="1" r:id="rId2"/>
    <sheet name="B.Grade" sheetId="11" state="hidden" r:id="rId3"/>
    <sheet name="DONATION" sheetId="12" state="hidden" r:id="rId4"/>
    <sheet name="C.Grade" sheetId="14" r:id="rId5"/>
    <sheet name="Summary DOD by Issue" sheetId="10" state="hidden" r:id="rId6"/>
    <sheet name="Summary by Model " sheetId="8" state="hidden" r:id="rId7"/>
  </sheets>
  <definedNames>
    <definedName name="_xlnm._FilterDatabase" localSheetId="2" hidden="1">B.Grade!$B$4:$AA$235</definedName>
    <definedName name="_xlnm._FilterDatabase" localSheetId="4" hidden="1">'C.Grade'!$B$4:$AO$1119</definedName>
    <definedName name="_xlnm._FilterDatabase" localSheetId="3" hidden="1">DONATION!$B$4:$AJ$407</definedName>
    <definedName name="_xlnm._FilterDatabase" localSheetId="6" hidden="1">'Summary by Model '!$A$7:$BE$73</definedName>
    <definedName name="_xlnm.Print_Area" localSheetId="2">B.Grade!#REF!</definedName>
    <definedName name="_xlnm.Print_Area" localSheetId="5">'Summary DOD by Issue'!$A$1:$AL$32</definedName>
  </definedNames>
  <calcPr calcId="191029"/>
</workbook>
</file>

<file path=xl/calcChain.xml><?xml version="1.0" encoding="utf-8"?>
<calcChain xmlns="http://schemas.openxmlformats.org/spreadsheetml/2006/main">
  <c r="AD4" i="1" l="1"/>
  <c r="F4" i="1" l="1"/>
  <c r="G4" i="1" s="1"/>
  <c r="H4" i="1" s="1"/>
  <c r="I4" i="1" s="1"/>
  <c r="AO647" i="14" l="1"/>
  <c r="AO648" i="14"/>
  <c r="AO649" i="14"/>
  <c r="AO650" i="14"/>
  <c r="AO651" i="14"/>
  <c r="AO652" i="14"/>
  <c r="AP647" i="14" l="1"/>
  <c r="AA18" i="1"/>
  <c r="AL4" i="1"/>
  <c r="BK6" i="17" l="1"/>
  <c r="U16" i="1" l="1"/>
  <c r="AO70" i="14" l="1"/>
  <c r="AO71" i="14"/>
  <c r="AO72" i="14"/>
  <c r="AO73" i="14"/>
  <c r="AO74" i="14"/>
  <c r="AO75" i="14"/>
  <c r="AO76" i="14"/>
  <c r="AO77" i="14"/>
  <c r="AO78" i="14"/>
  <c r="AO79" i="14"/>
  <c r="AO80" i="14"/>
  <c r="AO81" i="14"/>
  <c r="AO82" i="14"/>
  <c r="AO83" i="14"/>
  <c r="AP77" i="14" l="1"/>
  <c r="AL1150" i="14"/>
  <c r="AL1144" i="14"/>
  <c r="AK16" i="1" l="1"/>
  <c r="AE16" i="1" l="1"/>
  <c r="AA14" i="1" l="1"/>
  <c r="AA15" i="1"/>
  <c r="P644" i="14"/>
  <c r="M644" i="14"/>
  <c r="K644" i="14"/>
  <c r="I644" i="14"/>
  <c r="AO227" i="14" l="1"/>
  <c r="AN1118" i="14" l="1"/>
  <c r="AM1118" i="14"/>
  <c r="AL1118" i="14"/>
  <c r="AK1118" i="14"/>
  <c r="AJ1118" i="14"/>
  <c r="AI1118" i="14"/>
  <c r="AH1118" i="14"/>
  <c r="AG1118" i="14"/>
  <c r="AF1118" i="14"/>
  <c r="AE1118" i="14"/>
  <c r="AD1118" i="14"/>
  <c r="AC1118" i="14"/>
  <c r="AB1118" i="14"/>
  <c r="AA1118" i="14"/>
  <c r="Z1118" i="14"/>
  <c r="Y1118" i="14"/>
  <c r="X1118" i="14"/>
  <c r="W1118" i="14"/>
  <c r="V1118" i="14"/>
  <c r="U1118" i="14"/>
  <c r="T1118" i="14"/>
  <c r="S1118" i="14"/>
  <c r="R1118" i="14"/>
  <c r="Q1118" i="14"/>
  <c r="P1118" i="14"/>
  <c r="O1118" i="14"/>
  <c r="N1118" i="14"/>
  <c r="M1118" i="14"/>
  <c r="L1118" i="14"/>
  <c r="K1118" i="14"/>
  <c r="J1118" i="14"/>
  <c r="I1118" i="14"/>
  <c r="Q1119" i="14" l="1"/>
  <c r="AQ14" i="1"/>
  <c r="AN644" i="14" l="1"/>
  <c r="AJ1144" i="14" l="1"/>
  <c r="AJ1143" i="14"/>
  <c r="AH1144" i="14" l="1"/>
  <c r="AH1145" i="14"/>
  <c r="AH1143" i="14"/>
  <c r="AK1145" i="14"/>
  <c r="AH1140" i="14"/>
  <c r="AL1151" i="14"/>
  <c r="AJ1151" i="14"/>
  <c r="AH1151" i="14"/>
  <c r="AJ1150" i="14"/>
  <c r="AH1150" i="14"/>
  <c r="AJ1149" i="14"/>
  <c r="AH1149" i="14"/>
  <c r="AL1148" i="14"/>
  <c r="AJ1148" i="14"/>
  <c r="AH1148" i="14"/>
  <c r="AL1147" i="14"/>
  <c r="AJ1147" i="14"/>
  <c r="AH1147" i="14"/>
  <c r="AK1146" i="14"/>
  <c r="AL1146" i="14" s="1"/>
  <c r="AJ1146" i="14"/>
  <c r="AH1146" i="14"/>
  <c r="AL1143" i="14"/>
  <c r="AL1142" i="14"/>
  <c r="AJ1142" i="14"/>
  <c r="AH1142" i="14"/>
  <c r="AL1141" i="14"/>
  <c r="AJ1141" i="14"/>
  <c r="AH1141" i="14"/>
  <c r="AL1140" i="14"/>
  <c r="AJ1140" i="14"/>
  <c r="AL1145" i="14" l="1"/>
  <c r="AJ1145" i="14"/>
  <c r="CD5" i="17" l="1"/>
  <c r="CB5" i="17"/>
  <c r="BZ5" i="17"/>
  <c r="BX5" i="17"/>
  <c r="BV5" i="17"/>
  <c r="BT5" i="17" l="1"/>
  <c r="BT3" i="17"/>
  <c r="AI18" i="1" l="1"/>
  <c r="BC89" i="8" l="1"/>
  <c r="BC71" i="8" l="1"/>
  <c r="BC162" i="8" l="1"/>
  <c r="BC161" i="8"/>
  <c r="BC160" i="8"/>
  <c r="BC159" i="8"/>
  <c r="BC158" i="8"/>
  <c r="BC157" i="8"/>
  <c r="BC156" i="8"/>
  <c r="BC155" i="8"/>
  <c r="BC154" i="8"/>
  <c r="BC153" i="8"/>
  <c r="BC152" i="8"/>
  <c r="BC151" i="8"/>
  <c r="BC150" i="8"/>
  <c r="BC149" i="8"/>
  <c r="BC148" i="8"/>
  <c r="BC147" i="8"/>
  <c r="BC146" i="8"/>
  <c r="BC145" i="8"/>
  <c r="BC144" i="8"/>
  <c r="BC143" i="8"/>
  <c r="BC142" i="8"/>
  <c r="BC141" i="8"/>
  <c r="BC140" i="8"/>
  <c r="BC139" i="8"/>
  <c r="BC138" i="8"/>
  <c r="BC137" i="8"/>
  <c r="BC136" i="8"/>
  <c r="BC135" i="8"/>
  <c r="BC134" i="8"/>
  <c r="BC133" i="8"/>
  <c r="BC132" i="8"/>
  <c r="BC131" i="8"/>
  <c r="BC130" i="8"/>
  <c r="BC129" i="8"/>
  <c r="BC128" i="8"/>
  <c r="BC127" i="8"/>
  <c r="BC126" i="8"/>
  <c r="BC125" i="8"/>
  <c r="BC124" i="8"/>
  <c r="BC123" i="8"/>
  <c r="BC122" i="8"/>
  <c r="BC121" i="8"/>
  <c r="BC120" i="8"/>
  <c r="BC119" i="8"/>
  <c r="BC118" i="8"/>
  <c r="BC117" i="8"/>
  <c r="BC116" i="8"/>
  <c r="BC115" i="8"/>
  <c r="BC114" i="8"/>
  <c r="BC113" i="8"/>
  <c r="BC112" i="8"/>
  <c r="BC111" i="8"/>
  <c r="BC110" i="8"/>
  <c r="BC109" i="8"/>
  <c r="BC108" i="8"/>
  <c r="BC107" i="8"/>
  <c r="BC106" i="8"/>
  <c r="BC105" i="8"/>
  <c r="BC104" i="8"/>
  <c r="BC103" i="8"/>
  <c r="BC102" i="8"/>
  <c r="BC101" i="8"/>
  <c r="BC100" i="8"/>
  <c r="BC99" i="8"/>
  <c r="BC98" i="8"/>
  <c r="BC97" i="8"/>
  <c r="BC96" i="8"/>
  <c r="BC95" i="8"/>
  <c r="BC94" i="8"/>
  <c r="BC93" i="8"/>
  <c r="BC92" i="8"/>
  <c r="BC91" i="8"/>
  <c r="BC90" i="8"/>
  <c r="BC88" i="8"/>
  <c r="BC87" i="8"/>
  <c r="BC86" i="8"/>
  <c r="BC85" i="8"/>
  <c r="BC84" i="8"/>
  <c r="BC83" i="8"/>
  <c r="BC82" i="8"/>
  <c r="BC81" i="8"/>
  <c r="BC80" i="8"/>
  <c r="BC79" i="8"/>
  <c r="BC78" i="8"/>
  <c r="BC77" i="8"/>
  <c r="BC76" i="8"/>
  <c r="BC75" i="8"/>
  <c r="BC74" i="8"/>
  <c r="BC73" i="8"/>
  <c r="Q73" i="8"/>
  <c r="BC72" i="8"/>
  <c r="Q72" i="8"/>
  <c r="BC70" i="8"/>
  <c r="Q70" i="8"/>
  <c r="BC69" i="8"/>
  <c r="AJ69" i="8"/>
  <c r="Q69" i="8"/>
  <c r="BC68" i="8"/>
  <c r="AJ68" i="8"/>
  <c r="Q68" i="8"/>
  <c r="BC67" i="8"/>
  <c r="AJ67" i="8"/>
  <c r="Q67" i="8"/>
  <c r="BC66" i="8"/>
  <c r="AJ66" i="8"/>
  <c r="Q66" i="8"/>
  <c r="BC65" i="8"/>
  <c r="AJ65" i="8"/>
  <c r="Q65" i="8"/>
  <c r="BC64" i="8"/>
  <c r="AJ64" i="8"/>
  <c r="Q64" i="8"/>
  <c r="BC63" i="8"/>
  <c r="AJ63" i="8"/>
  <c r="Q63" i="8"/>
  <c r="BC62" i="8"/>
  <c r="AJ62" i="8"/>
  <c r="Q62" i="8"/>
  <c r="BC61" i="8"/>
  <c r="AJ61" i="8"/>
  <c r="Q61" i="8"/>
  <c r="BC60" i="8"/>
  <c r="AJ60" i="8"/>
  <c r="Q60" i="8"/>
  <c r="BC59" i="8"/>
  <c r="AJ59" i="8"/>
  <c r="Q59" i="8"/>
  <c r="BC58" i="8"/>
  <c r="AJ58" i="8"/>
  <c r="Q58" i="8"/>
  <c r="BC57" i="8"/>
  <c r="AJ57" i="8"/>
  <c r="Q57" i="8"/>
  <c r="BC56" i="8"/>
  <c r="AJ56" i="8"/>
  <c r="Q56" i="8"/>
  <c r="BC55" i="8"/>
  <c r="AJ55" i="8"/>
  <c r="Q55" i="8"/>
  <c r="BC54" i="8"/>
  <c r="AJ54" i="8"/>
  <c r="Q54" i="8"/>
  <c r="BC53" i="8"/>
  <c r="AJ53" i="8"/>
  <c r="Q53" i="8"/>
  <c r="BC52" i="8"/>
  <c r="AJ52" i="8"/>
  <c r="Q52" i="8"/>
  <c r="BC51" i="8"/>
  <c r="AJ51" i="8"/>
  <c r="Q51" i="8"/>
  <c r="BC50" i="8"/>
  <c r="BC49" i="8"/>
  <c r="AJ49" i="8"/>
  <c r="Q49" i="8"/>
  <c r="BC48" i="8"/>
  <c r="AJ48" i="8"/>
  <c r="Q48" i="8"/>
  <c r="BC47" i="8"/>
  <c r="AJ47" i="8"/>
  <c r="Q47" i="8"/>
  <c r="BC46" i="8"/>
  <c r="AJ46" i="8"/>
  <c r="Q46" i="8"/>
  <c r="BC45" i="8"/>
  <c r="AJ45" i="8"/>
  <c r="Q45" i="8"/>
  <c r="BC44" i="8"/>
  <c r="AJ44" i="8"/>
  <c r="Q44" i="8"/>
  <c r="BC43" i="8"/>
  <c r="AJ43" i="8"/>
  <c r="Q43" i="8"/>
  <c r="BC42" i="8"/>
  <c r="AJ42" i="8"/>
  <c r="Q42" i="8"/>
  <c r="BC41" i="8"/>
  <c r="AJ41" i="8"/>
  <c r="Q41" i="8"/>
  <c r="BC40" i="8"/>
  <c r="AJ40" i="8"/>
  <c r="Q40" i="8"/>
  <c r="BC39" i="8"/>
  <c r="AJ39" i="8"/>
  <c r="Q39" i="8"/>
  <c r="BC38" i="8"/>
  <c r="AJ38" i="8"/>
  <c r="Q38" i="8"/>
  <c r="BC37" i="8"/>
  <c r="AJ37" i="8"/>
  <c r="Q37" i="8"/>
  <c r="BC36" i="8"/>
  <c r="AJ36" i="8"/>
  <c r="Q36" i="8"/>
  <c r="BC35" i="8"/>
  <c r="AJ35" i="8"/>
  <c r="Q35" i="8"/>
  <c r="BC34" i="8"/>
  <c r="AJ34" i="8"/>
  <c r="Q34" i="8"/>
  <c r="BC33" i="8"/>
  <c r="AJ33" i="8"/>
  <c r="Q33" i="8"/>
  <c r="BC32" i="8"/>
  <c r="AJ32" i="8"/>
  <c r="Q32" i="8"/>
  <c r="BC31" i="8"/>
  <c r="AJ31" i="8"/>
  <c r="Q31" i="8"/>
  <c r="BC30" i="8"/>
  <c r="AJ30" i="8"/>
  <c r="Q30" i="8"/>
  <c r="BC29" i="8"/>
  <c r="AJ29" i="8"/>
  <c r="Q29" i="8"/>
  <c r="BC28" i="8"/>
  <c r="AJ28" i="8"/>
  <c r="Q28" i="8"/>
  <c r="BC27" i="8"/>
  <c r="AJ27" i="8"/>
  <c r="Q27" i="8"/>
  <c r="BC26" i="8"/>
  <c r="AJ26" i="8"/>
  <c r="Q26" i="8"/>
  <c r="BC25" i="8"/>
  <c r="AJ25" i="8"/>
  <c r="Q25" i="8"/>
  <c r="BC24" i="8"/>
  <c r="AJ24" i="8"/>
  <c r="Q24" i="8"/>
  <c r="BC23" i="8"/>
  <c r="BD23" i="8" s="1"/>
  <c r="AJ23" i="8"/>
  <c r="Q23" i="8"/>
  <c r="BC22" i="8"/>
  <c r="AJ22" i="8"/>
  <c r="Q22" i="8"/>
  <c r="BC21" i="8"/>
  <c r="AJ21" i="8"/>
  <c r="Q21" i="8"/>
  <c r="BC20" i="8"/>
  <c r="AJ20" i="8"/>
  <c r="Q20" i="8"/>
  <c r="BC19" i="8"/>
  <c r="BD19" i="8" s="1"/>
  <c r="AJ19" i="8"/>
  <c r="Q19" i="8"/>
  <c r="BC18" i="8"/>
  <c r="AJ18" i="8"/>
  <c r="AK18" i="8" s="1"/>
  <c r="Q18" i="8"/>
  <c r="BC17" i="8"/>
  <c r="Q17" i="8"/>
  <c r="BC16" i="8"/>
  <c r="AJ16" i="8"/>
  <c r="Q16" i="8"/>
  <c r="BC15" i="8"/>
  <c r="BC14" i="8"/>
  <c r="AJ14" i="8"/>
  <c r="Q14" i="8"/>
  <c r="BC13" i="8"/>
  <c r="AJ13" i="8"/>
  <c r="Q13" i="8"/>
  <c r="BC12" i="8"/>
  <c r="AJ12" i="8"/>
  <c r="Q12" i="8"/>
  <c r="BC11" i="8"/>
  <c r="AJ11" i="8"/>
  <c r="Q11" i="8"/>
  <c r="BC10" i="8"/>
  <c r="Q10" i="8"/>
  <c r="BC9" i="8"/>
  <c r="AJ9" i="8"/>
  <c r="Q9" i="8"/>
  <c r="BC8" i="8"/>
  <c r="AJ8" i="8"/>
  <c r="Q8" i="8"/>
  <c r="AJ28" i="10"/>
  <c r="AJ29" i="10" s="1"/>
  <c r="AN1119" i="14"/>
  <c r="AH27" i="10"/>
  <c r="AH28" i="10" s="1"/>
  <c r="AH29" i="10" s="1"/>
  <c r="AG27" i="10"/>
  <c r="AG28" i="10" s="1"/>
  <c r="AG29" i="10" s="1"/>
  <c r="AF27" i="10"/>
  <c r="AF28" i="10" s="1"/>
  <c r="AF29" i="10" s="1"/>
  <c r="AE27" i="10"/>
  <c r="AE28" i="10" s="1"/>
  <c r="AE29" i="10" s="1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AO1117" i="14"/>
  <c r="AO1116" i="14"/>
  <c r="AO1115" i="14"/>
  <c r="AO1114" i="14"/>
  <c r="AO1113" i="14"/>
  <c r="AO1112" i="14"/>
  <c r="AO1111" i="14"/>
  <c r="AO1110" i="14"/>
  <c r="AO1109" i="14"/>
  <c r="AO1108" i="14"/>
  <c r="AO1107" i="14"/>
  <c r="AO1106" i="14"/>
  <c r="AO1105" i="14"/>
  <c r="AO1104" i="14"/>
  <c r="AO1103" i="14"/>
  <c r="AO1102" i="14"/>
  <c r="AO1101" i="14"/>
  <c r="AO1100" i="14"/>
  <c r="AO1099" i="14"/>
  <c r="AO1098" i="14"/>
  <c r="AO1097" i="14"/>
  <c r="AO1096" i="14"/>
  <c r="AO1095" i="14"/>
  <c r="AO1094" i="14"/>
  <c r="AO1093" i="14"/>
  <c r="AO1092" i="14"/>
  <c r="AO1091" i="14"/>
  <c r="AO1090" i="14"/>
  <c r="AO1089" i="14"/>
  <c r="AO1088" i="14"/>
  <c r="AO1087" i="14"/>
  <c r="AO1086" i="14"/>
  <c r="AO1085" i="14"/>
  <c r="AO1084" i="14"/>
  <c r="AO1083" i="14"/>
  <c r="AO1082" i="14"/>
  <c r="AO1081" i="14"/>
  <c r="AO1080" i="14"/>
  <c r="AO1079" i="14"/>
  <c r="AO1078" i="14"/>
  <c r="AO1077" i="14"/>
  <c r="AO1076" i="14"/>
  <c r="AO1075" i="14"/>
  <c r="AO1074" i="14"/>
  <c r="AO1073" i="14"/>
  <c r="AO1072" i="14"/>
  <c r="AO1071" i="14"/>
  <c r="AO1070" i="14"/>
  <c r="AO1069" i="14"/>
  <c r="AO1068" i="14"/>
  <c r="AO1067" i="14"/>
  <c r="AO1066" i="14"/>
  <c r="AO1065" i="14"/>
  <c r="AO1064" i="14"/>
  <c r="AO1063" i="14"/>
  <c r="AO1062" i="14"/>
  <c r="AO1061" i="14"/>
  <c r="AO1060" i="14"/>
  <c r="AO1059" i="14"/>
  <c r="AO1058" i="14"/>
  <c r="AO1057" i="14"/>
  <c r="AO1056" i="14"/>
  <c r="AO1055" i="14"/>
  <c r="AO1054" i="14"/>
  <c r="AO1053" i="14"/>
  <c r="AO1052" i="14"/>
  <c r="AO1051" i="14"/>
  <c r="AO1050" i="14"/>
  <c r="AO1049" i="14"/>
  <c r="AO1048" i="14"/>
  <c r="AO1047" i="14"/>
  <c r="AO1046" i="14"/>
  <c r="AO1045" i="14"/>
  <c r="AO1044" i="14"/>
  <c r="AO1043" i="14"/>
  <c r="AO1042" i="14"/>
  <c r="AO1041" i="14"/>
  <c r="AO1040" i="14"/>
  <c r="AO1039" i="14"/>
  <c r="AO1038" i="14"/>
  <c r="AO1037" i="14"/>
  <c r="AO1036" i="14"/>
  <c r="AO1035" i="14"/>
  <c r="AO1034" i="14"/>
  <c r="AO1033" i="14"/>
  <c r="AO1032" i="14"/>
  <c r="AO1031" i="14"/>
  <c r="AO1030" i="14"/>
  <c r="AO1029" i="14"/>
  <c r="AO1028" i="14"/>
  <c r="AO1027" i="14"/>
  <c r="AO1026" i="14"/>
  <c r="AO1025" i="14"/>
  <c r="AO1024" i="14"/>
  <c r="AO1023" i="14"/>
  <c r="AO1022" i="14"/>
  <c r="AO1021" i="14"/>
  <c r="AO1020" i="14"/>
  <c r="AO1019" i="14"/>
  <c r="AO1018" i="14"/>
  <c r="AO1017" i="14"/>
  <c r="AO1016" i="14"/>
  <c r="AO1015" i="14"/>
  <c r="AO1014" i="14"/>
  <c r="AO1013" i="14"/>
  <c r="AO1012" i="14"/>
  <c r="AO1011" i="14"/>
  <c r="AO1010" i="14"/>
  <c r="AO1009" i="14"/>
  <c r="AO1008" i="14"/>
  <c r="AO1007" i="14"/>
  <c r="AO1006" i="14"/>
  <c r="AO1005" i="14"/>
  <c r="AO1004" i="14"/>
  <c r="AO1003" i="14"/>
  <c r="AO1002" i="14"/>
  <c r="AO1001" i="14"/>
  <c r="AO1000" i="14"/>
  <c r="AO999" i="14"/>
  <c r="AO998" i="14"/>
  <c r="AO997" i="14"/>
  <c r="AO996" i="14"/>
  <c r="AO995" i="14"/>
  <c r="AO994" i="14"/>
  <c r="AO993" i="14"/>
  <c r="AO992" i="14"/>
  <c r="AO991" i="14"/>
  <c r="AO990" i="14"/>
  <c r="AO989" i="14"/>
  <c r="AO988" i="14"/>
  <c r="AO987" i="14"/>
  <c r="AO986" i="14"/>
  <c r="AO985" i="14"/>
  <c r="AO984" i="14"/>
  <c r="AO983" i="14"/>
  <c r="AO982" i="14"/>
  <c r="AO981" i="14"/>
  <c r="AO980" i="14"/>
  <c r="AO979" i="14"/>
  <c r="AO978" i="14"/>
  <c r="AO977" i="14"/>
  <c r="AO976" i="14"/>
  <c r="AO975" i="14"/>
  <c r="AO974" i="14"/>
  <c r="AO973" i="14"/>
  <c r="AO972" i="14"/>
  <c r="AO971" i="14"/>
  <c r="AO970" i="14"/>
  <c r="AO969" i="14"/>
  <c r="AO968" i="14"/>
  <c r="AO967" i="14"/>
  <c r="AO966" i="14"/>
  <c r="AO965" i="14"/>
  <c r="AO964" i="14"/>
  <c r="AO963" i="14"/>
  <c r="AO962" i="14"/>
  <c r="AO961" i="14"/>
  <c r="AO960" i="14"/>
  <c r="AO959" i="14"/>
  <c r="AO958" i="14"/>
  <c r="AO957" i="14"/>
  <c r="AO956" i="14"/>
  <c r="AO955" i="14"/>
  <c r="AO954" i="14"/>
  <c r="AO953" i="14"/>
  <c r="AO952" i="14"/>
  <c r="AO951" i="14"/>
  <c r="AO950" i="14"/>
  <c r="AO949" i="14"/>
  <c r="AO948" i="14"/>
  <c r="AO947" i="14"/>
  <c r="AO946" i="14"/>
  <c r="AO945" i="14"/>
  <c r="AO944" i="14"/>
  <c r="AO943" i="14"/>
  <c r="AO942" i="14"/>
  <c r="AO941" i="14"/>
  <c r="AO940" i="14"/>
  <c r="AO939" i="14"/>
  <c r="AO938" i="14"/>
  <c r="AO937" i="14"/>
  <c r="AO936" i="14"/>
  <c r="AO935" i="14"/>
  <c r="AO934" i="14"/>
  <c r="AO933" i="14"/>
  <c r="AO932" i="14"/>
  <c r="AO931" i="14"/>
  <c r="AO930" i="14"/>
  <c r="AO929" i="14"/>
  <c r="AO928" i="14"/>
  <c r="AO927" i="14"/>
  <c r="AO926" i="14"/>
  <c r="AO925" i="14"/>
  <c r="AO924" i="14"/>
  <c r="AO923" i="14"/>
  <c r="AO922" i="14"/>
  <c r="AO921" i="14"/>
  <c r="AO920" i="14"/>
  <c r="AO919" i="14"/>
  <c r="AO918" i="14"/>
  <c r="AO917" i="14"/>
  <c r="AN915" i="14"/>
  <c r="AK22" i="10" s="1"/>
  <c r="AM915" i="14"/>
  <c r="AH22" i="10" s="1"/>
  <c r="AH23" i="10" s="1"/>
  <c r="AL915" i="14"/>
  <c r="AG22" i="10" s="1"/>
  <c r="AG23" i="10" s="1"/>
  <c r="AG24" i="10" s="1"/>
  <c r="AK915" i="14"/>
  <c r="AF22" i="10" s="1"/>
  <c r="AF23" i="10" s="1"/>
  <c r="AF24" i="10" s="1"/>
  <c r="AJ915" i="14"/>
  <c r="AE22" i="10" s="1"/>
  <c r="AE23" i="10" s="1"/>
  <c r="AE24" i="10" s="1"/>
  <c r="AI915" i="14"/>
  <c r="AD22" i="10" s="1"/>
  <c r="AH915" i="14"/>
  <c r="AC22" i="10" s="1"/>
  <c r="AG915" i="14"/>
  <c r="AB22" i="10" s="1"/>
  <c r="AF915" i="14"/>
  <c r="AA22" i="10" s="1"/>
  <c r="AE915" i="14"/>
  <c r="Z22" i="10" s="1"/>
  <c r="AD915" i="14"/>
  <c r="Y22" i="10" s="1"/>
  <c r="AC915" i="14"/>
  <c r="X22" i="10" s="1"/>
  <c r="AB915" i="14"/>
  <c r="W22" i="10" s="1"/>
  <c r="AA915" i="14"/>
  <c r="V22" i="10" s="1"/>
  <c r="Z915" i="14"/>
  <c r="U22" i="10" s="1"/>
  <c r="Y915" i="14"/>
  <c r="T22" i="10" s="1"/>
  <c r="X915" i="14"/>
  <c r="S22" i="10" s="1"/>
  <c r="W915" i="14"/>
  <c r="R22" i="10" s="1"/>
  <c r="R23" i="10" s="1"/>
  <c r="V915" i="14"/>
  <c r="Q22" i="10" s="1"/>
  <c r="U915" i="14"/>
  <c r="P22" i="10" s="1"/>
  <c r="T915" i="14"/>
  <c r="O22" i="10" s="1"/>
  <c r="S915" i="14"/>
  <c r="N22" i="10" s="1"/>
  <c r="R915" i="14"/>
  <c r="M22" i="10" s="1"/>
  <c r="Q915" i="14"/>
  <c r="L22" i="10" s="1"/>
  <c r="P915" i="14"/>
  <c r="K22" i="10" s="1"/>
  <c r="O915" i="14"/>
  <c r="J22" i="10" s="1"/>
  <c r="N915" i="14"/>
  <c r="I22" i="10" s="1"/>
  <c r="M915" i="14"/>
  <c r="H22" i="10" s="1"/>
  <c r="L915" i="14"/>
  <c r="G22" i="10" s="1"/>
  <c r="K915" i="14"/>
  <c r="F22" i="10" s="1"/>
  <c r="J915" i="14"/>
  <c r="E22" i="10" s="1"/>
  <c r="I915" i="14"/>
  <c r="D22" i="10" s="1"/>
  <c r="AO914" i="14"/>
  <c r="AO913" i="14"/>
  <c r="AO912" i="14"/>
  <c r="AO911" i="14"/>
  <c r="AO910" i="14"/>
  <c r="AO909" i="14"/>
  <c r="AO908" i="14"/>
  <c r="AO907" i="14"/>
  <c r="AO906" i="14"/>
  <c r="AO905" i="14"/>
  <c r="AO904" i="14"/>
  <c r="AO903" i="14"/>
  <c r="AO902" i="14"/>
  <c r="AO901" i="14"/>
  <c r="AO900" i="14"/>
  <c r="AO899" i="14"/>
  <c r="AO898" i="14"/>
  <c r="AO897" i="14"/>
  <c r="AO896" i="14"/>
  <c r="AO895" i="14"/>
  <c r="AO894" i="14"/>
  <c r="AO893" i="14"/>
  <c r="AO892" i="14"/>
  <c r="AO891" i="14"/>
  <c r="AO890" i="14"/>
  <c r="AO889" i="14"/>
  <c r="AO888" i="14"/>
  <c r="AO887" i="14"/>
  <c r="AO886" i="14"/>
  <c r="AO885" i="14"/>
  <c r="AO884" i="14"/>
  <c r="AO883" i="14"/>
  <c r="AO882" i="14"/>
  <c r="AO881" i="14"/>
  <c r="AO880" i="14"/>
  <c r="AO879" i="14"/>
  <c r="AO878" i="14"/>
  <c r="AO877" i="14"/>
  <c r="AO876" i="14"/>
  <c r="AO875" i="14"/>
  <c r="AO874" i="14"/>
  <c r="AO873" i="14"/>
  <c r="AO872" i="14"/>
  <c r="AO871" i="14"/>
  <c r="AO870" i="14"/>
  <c r="AO869" i="14"/>
  <c r="AO868" i="14"/>
  <c r="AO867" i="14"/>
  <c r="AO866" i="14"/>
  <c r="AO865" i="14"/>
  <c r="AO864" i="14"/>
  <c r="AO863" i="14"/>
  <c r="AO862" i="14"/>
  <c r="AO861" i="14"/>
  <c r="AO860" i="14"/>
  <c r="AO859" i="14"/>
  <c r="AO858" i="14"/>
  <c r="AO857" i="14"/>
  <c r="AO856" i="14"/>
  <c r="AO855" i="14"/>
  <c r="AO854" i="14"/>
  <c r="AO853" i="14"/>
  <c r="AO852" i="14"/>
  <c r="AO851" i="14"/>
  <c r="AO850" i="14"/>
  <c r="AO849" i="14"/>
  <c r="AO848" i="14"/>
  <c r="AO847" i="14"/>
  <c r="AO846" i="14"/>
  <c r="AO845" i="14"/>
  <c r="AO844" i="14"/>
  <c r="AO843" i="14"/>
  <c r="AO842" i="14"/>
  <c r="AO841" i="14"/>
  <c r="AO840" i="14"/>
  <c r="AO839" i="14"/>
  <c r="AO838" i="14"/>
  <c r="AO837" i="14"/>
  <c r="AO836" i="14"/>
  <c r="AO835" i="14"/>
  <c r="AO834" i="14"/>
  <c r="AO833" i="14"/>
  <c r="AO832" i="14"/>
  <c r="AO831" i="14"/>
  <c r="AO830" i="14"/>
  <c r="AO829" i="14"/>
  <c r="AO828" i="14"/>
  <c r="AO827" i="14"/>
  <c r="AO826" i="14"/>
  <c r="AO825" i="14"/>
  <c r="AO824" i="14"/>
  <c r="AO823" i="14"/>
  <c r="AO822" i="14"/>
  <c r="AO821" i="14"/>
  <c r="AO820" i="14"/>
  <c r="AO819" i="14"/>
  <c r="AO818" i="14"/>
  <c r="AO817" i="14"/>
  <c r="AO816" i="14"/>
  <c r="AO815" i="14"/>
  <c r="AO814" i="14"/>
  <c r="AO813" i="14"/>
  <c r="AO812" i="14"/>
  <c r="AO811" i="14"/>
  <c r="AO810" i="14"/>
  <c r="AO809" i="14"/>
  <c r="AO808" i="14"/>
  <c r="AO807" i="14"/>
  <c r="AO806" i="14"/>
  <c r="AO805" i="14"/>
  <c r="AO804" i="14"/>
  <c r="AO803" i="14"/>
  <c r="AO802" i="14"/>
  <c r="AO801" i="14"/>
  <c r="AO800" i="14"/>
  <c r="AO799" i="14"/>
  <c r="AO798" i="14"/>
  <c r="AO797" i="14"/>
  <c r="AO796" i="14"/>
  <c r="AO795" i="14"/>
  <c r="AO794" i="14"/>
  <c r="AO793" i="14"/>
  <c r="AO792" i="14"/>
  <c r="AO791" i="14"/>
  <c r="AO790" i="14"/>
  <c r="AO789" i="14"/>
  <c r="AO788" i="14"/>
  <c r="AO787" i="14"/>
  <c r="AO786" i="14"/>
  <c r="AO785" i="14"/>
  <c r="AO784" i="14"/>
  <c r="AO783" i="14"/>
  <c r="AO782" i="14"/>
  <c r="AO781" i="14"/>
  <c r="AO780" i="14"/>
  <c r="AO779" i="14"/>
  <c r="AO778" i="14"/>
  <c r="AO777" i="14"/>
  <c r="AO776" i="14"/>
  <c r="AO775" i="14"/>
  <c r="AO774" i="14"/>
  <c r="AO773" i="14"/>
  <c r="AO772" i="14"/>
  <c r="AO771" i="14"/>
  <c r="AO770" i="14"/>
  <c r="AO769" i="14"/>
  <c r="AO768" i="14"/>
  <c r="AO767" i="14"/>
  <c r="AO766" i="14"/>
  <c r="AO765" i="14"/>
  <c r="AO764" i="14"/>
  <c r="AO763" i="14"/>
  <c r="AO762" i="14"/>
  <c r="AO761" i="14"/>
  <c r="AO760" i="14"/>
  <c r="AO759" i="14"/>
  <c r="AO758" i="14"/>
  <c r="AO757" i="14"/>
  <c r="AO756" i="14"/>
  <c r="AO755" i="14"/>
  <c r="AO754" i="14"/>
  <c r="AO753" i="14"/>
  <c r="AO752" i="14"/>
  <c r="AO751" i="14"/>
  <c r="AO750" i="14"/>
  <c r="AO749" i="14"/>
  <c r="AO748" i="14"/>
  <c r="AO747" i="14"/>
  <c r="AO746" i="14"/>
  <c r="AO745" i="14"/>
  <c r="AO744" i="14"/>
  <c r="AO743" i="14"/>
  <c r="AO742" i="14"/>
  <c r="AO741" i="14"/>
  <c r="AO740" i="14"/>
  <c r="AO739" i="14"/>
  <c r="AO738" i="14"/>
  <c r="AO737" i="14"/>
  <c r="AO736" i="14"/>
  <c r="AO735" i="14"/>
  <c r="AO734" i="14"/>
  <c r="AO733" i="14"/>
  <c r="AO732" i="14"/>
  <c r="AO731" i="14"/>
  <c r="AO730" i="14"/>
  <c r="AO729" i="14"/>
  <c r="AO728" i="14"/>
  <c r="AO727" i="14"/>
  <c r="AO726" i="14"/>
  <c r="AO725" i="14"/>
  <c r="AO724" i="14"/>
  <c r="AO723" i="14"/>
  <c r="AO722" i="14"/>
  <c r="AO721" i="14"/>
  <c r="AO720" i="14"/>
  <c r="AO719" i="14"/>
  <c r="AO718" i="14"/>
  <c r="AO717" i="14"/>
  <c r="AO716" i="14"/>
  <c r="AO715" i="14"/>
  <c r="AO714" i="14"/>
  <c r="AO713" i="14"/>
  <c r="AO712" i="14"/>
  <c r="AO711" i="14"/>
  <c r="AO710" i="14"/>
  <c r="AO709" i="14"/>
  <c r="AO708" i="14"/>
  <c r="AO707" i="14"/>
  <c r="AO706" i="14"/>
  <c r="AO705" i="14"/>
  <c r="AO704" i="14"/>
  <c r="AO703" i="14"/>
  <c r="AO702" i="14"/>
  <c r="AO701" i="14"/>
  <c r="AO700" i="14"/>
  <c r="AO699" i="14"/>
  <c r="AO698" i="14"/>
  <c r="AO697" i="14"/>
  <c r="AO696" i="14"/>
  <c r="AO695" i="14"/>
  <c r="AO694" i="14"/>
  <c r="AO693" i="14"/>
  <c r="AO692" i="14"/>
  <c r="AO691" i="14"/>
  <c r="AO690" i="14"/>
  <c r="AO689" i="14"/>
  <c r="AO688" i="14"/>
  <c r="AO687" i="14"/>
  <c r="AO686" i="14"/>
  <c r="AO685" i="14"/>
  <c r="AO684" i="14"/>
  <c r="AO683" i="14"/>
  <c r="AO682" i="14"/>
  <c r="AO681" i="14"/>
  <c r="AO680" i="14"/>
  <c r="AO679" i="14"/>
  <c r="AO678" i="14"/>
  <c r="AO677" i="14"/>
  <c r="AO676" i="14"/>
  <c r="AO675" i="14"/>
  <c r="AO674" i="14"/>
  <c r="AO673" i="14"/>
  <c r="AO672" i="14"/>
  <c r="AO671" i="14"/>
  <c r="AO670" i="14"/>
  <c r="AO669" i="14"/>
  <c r="AO668" i="14"/>
  <c r="AO667" i="14"/>
  <c r="AO666" i="14"/>
  <c r="AO665" i="14"/>
  <c r="AO664" i="14"/>
  <c r="AO663" i="14"/>
  <c r="AO662" i="14"/>
  <c r="AO661" i="14"/>
  <c r="AO660" i="14"/>
  <c r="AO659" i="14"/>
  <c r="AO658" i="14"/>
  <c r="AO657" i="14"/>
  <c r="AO656" i="14"/>
  <c r="AO655" i="14"/>
  <c r="AO654" i="14"/>
  <c r="AO653" i="14"/>
  <c r="AO646" i="14"/>
  <c r="AK17" i="10"/>
  <c r="AM644" i="14"/>
  <c r="AH17" i="10" s="1"/>
  <c r="AH18" i="10" s="1"/>
  <c r="AH19" i="10" s="1"/>
  <c r="AL644" i="14"/>
  <c r="AG17" i="10" s="1"/>
  <c r="AG18" i="10" s="1"/>
  <c r="AG19" i="10" s="1"/>
  <c r="AK644" i="14"/>
  <c r="AF17" i="10" s="1"/>
  <c r="AF18" i="10" s="1"/>
  <c r="AF19" i="10" s="1"/>
  <c r="AJ644" i="14"/>
  <c r="AE17" i="10" s="1"/>
  <c r="AE18" i="10" s="1"/>
  <c r="AE19" i="10" s="1"/>
  <c r="AI644" i="14"/>
  <c r="AD17" i="10" s="1"/>
  <c r="AH644" i="14"/>
  <c r="AC17" i="10" s="1"/>
  <c r="AG644" i="14"/>
  <c r="AB17" i="10" s="1"/>
  <c r="AF644" i="14"/>
  <c r="AA17" i="10" s="1"/>
  <c r="AE644" i="14"/>
  <c r="Z17" i="10" s="1"/>
  <c r="AD644" i="14"/>
  <c r="Y17" i="10" s="1"/>
  <c r="AC644" i="14"/>
  <c r="X17" i="10" s="1"/>
  <c r="AB644" i="14"/>
  <c r="W17" i="10" s="1"/>
  <c r="AA644" i="14"/>
  <c r="V17" i="10" s="1"/>
  <c r="Z644" i="14"/>
  <c r="U17" i="10" s="1"/>
  <c r="Y644" i="14"/>
  <c r="T17" i="10" s="1"/>
  <c r="X644" i="14"/>
  <c r="S17" i="10" s="1"/>
  <c r="W644" i="14"/>
  <c r="R17" i="10" s="1"/>
  <c r="V644" i="14"/>
  <c r="Q17" i="10" s="1"/>
  <c r="U644" i="14"/>
  <c r="P17" i="10" s="1"/>
  <c r="P18" i="10" s="1"/>
  <c r="T644" i="14"/>
  <c r="O17" i="10" s="1"/>
  <c r="S644" i="14"/>
  <c r="N17" i="10" s="1"/>
  <c r="R644" i="14"/>
  <c r="M17" i="10" s="1"/>
  <c r="Q644" i="14"/>
  <c r="L17" i="10" s="1"/>
  <c r="K17" i="10"/>
  <c r="O644" i="14"/>
  <c r="J17" i="10" s="1"/>
  <c r="N644" i="14"/>
  <c r="I17" i="10" s="1"/>
  <c r="H17" i="10"/>
  <c r="L644" i="14"/>
  <c r="G17" i="10" s="1"/>
  <c r="F17" i="10"/>
  <c r="J644" i="14"/>
  <c r="E17" i="10" s="1"/>
  <c r="D17" i="10"/>
  <c r="AO643" i="14"/>
  <c r="AO642" i="14"/>
  <c r="AO641" i="14"/>
  <c r="AO640" i="14"/>
  <c r="AO639" i="14"/>
  <c r="AO638" i="14"/>
  <c r="AO637" i="14"/>
  <c r="AO636" i="14"/>
  <c r="AO635" i="14"/>
  <c r="AO634" i="14"/>
  <c r="AO633" i="14"/>
  <c r="AO632" i="14"/>
  <c r="AO631" i="14"/>
  <c r="AO630" i="14"/>
  <c r="AO629" i="14"/>
  <c r="AO628" i="14"/>
  <c r="AO627" i="14"/>
  <c r="AO626" i="14"/>
  <c r="AO625" i="14"/>
  <c r="AO624" i="14"/>
  <c r="AO623" i="14"/>
  <c r="AO622" i="14"/>
  <c r="AO621" i="14"/>
  <c r="AO620" i="14"/>
  <c r="AO619" i="14"/>
  <c r="AO618" i="14"/>
  <c r="AO617" i="14"/>
  <c r="AO616" i="14"/>
  <c r="AO615" i="14"/>
  <c r="AO614" i="14"/>
  <c r="AO613" i="14"/>
  <c r="AO612" i="14"/>
  <c r="AO611" i="14"/>
  <c r="AO610" i="14"/>
  <c r="AO609" i="14"/>
  <c r="AO608" i="14"/>
  <c r="AO607" i="14"/>
  <c r="AO606" i="14"/>
  <c r="AO605" i="14"/>
  <c r="AO604" i="14"/>
  <c r="AO603" i="14"/>
  <c r="AO602" i="14"/>
  <c r="AO601" i="14"/>
  <c r="AO600" i="14"/>
  <c r="AO599" i="14"/>
  <c r="AO598" i="14"/>
  <c r="AO597" i="14"/>
  <c r="AO596" i="14"/>
  <c r="AO595" i="14"/>
  <c r="AO594" i="14"/>
  <c r="AO593" i="14"/>
  <c r="AO592" i="14"/>
  <c r="AO591" i="14"/>
  <c r="AO590" i="14"/>
  <c r="AO589" i="14"/>
  <c r="AO588" i="14"/>
  <c r="AO587" i="14"/>
  <c r="AO586" i="14"/>
  <c r="AO585" i="14"/>
  <c r="AO584" i="14"/>
  <c r="AO583" i="14"/>
  <c r="AO582" i="14"/>
  <c r="AO581" i="14"/>
  <c r="AO580" i="14"/>
  <c r="AO579" i="14"/>
  <c r="AO578" i="14"/>
  <c r="AO577" i="14"/>
  <c r="AO576" i="14"/>
  <c r="AO575" i="14"/>
  <c r="AO574" i="14"/>
  <c r="AO573" i="14"/>
  <c r="AO572" i="14"/>
  <c r="AO571" i="14"/>
  <c r="AO570" i="14"/>
  <c r="AO569" i="14"/>
  <c r="AO568" i="14"/>
  <c r="AO567" i="14"/>
  <c r="AO566" i="14"/>
  <c r="AO565" i="14"/>
  <c r="AO564" i="14"/>
  <c r="AO563" i="14"/>
  <c r="AO562" i="14"/>
  <c r="AO561" i="14"/>
  <c r="AO560" i="14"/>
  <c r="AO559" i="14"/>
  <c r="AO558" i="14"/>
  <c r="AO557" i="14"/>
  <c r="AO556" i="14"/>
  <c r="AO555" i="14"/>
  <c r="AO554" i="14"/>
  <c r="AO553" i="14"/>
  <c r="AO552" i="14"/>
  <c r="AO551" i="14"/>
  <c r="AO550" i="14"/>
  <c r="AO549" i="14"/>
  <c r="AO548" i="14"/>
  <c r="AO547" i="14"/>
  <c r="AO546" i="14"/>
  <c r="AO545" i="14"/>
  <c r="AO544" i="14"/>
  <c r="AO543" i="14"/>
  <c r="AO542" i="14"/>
  <c r="AO541" i="14"/>
  <c r="AO540" i="14"/>
  <c r="AO539" i="14"/>
  <c r="AO538" i="14"/>
  <c r="AO537" i="14"/>
  <c r="AO536" i="14"/>
  <c r="AO535" i="14"/>
  <c r="AO534" i="14"/>
  <c r="AO533" i="14"/>
  <c r="AO532" i="14"/>
  <c r="AO531" i="14"/>
  <c r="AO530" i="14"/>
  <c r="AO529" i="14"/>
  <c r="AO528" i="14"/>
  <c r="AO527" i="14"/>
  <c r="AO526" i="14"/>
  <c r="AO525" i="14"/>
  <c r="AO524" i="14"/>
  <c r="AO523" i="14"/>
  <c r="AO522" i="14"/>
  <c r="AO521" i="14"/>
  <c r="AO520" i="14"/>
  <c r="AO519" i="14"/>
  <c r="AO518" i="14"/>
  <c r="AO517" i="14"/>
  <c r="AO516" i="14"/>
  <c r="AO515" i="14"/>
  <c r="AO514" i="14"/>
  <c r="AO513" i="14"/>
  <c r="AO512" i="14"/>
  <c r="AO511" i="14"/>
  <c r="AO510" i="14"/>
  <c r="AO509" i="14"/>
  <c r="AO508" i="14"/>
  <c r="AO507" i="14"/>
  <c r="AO506" i="14"/>
  <c r="AO505" i="14"/>
  <c r="AO504" i="14"/>
  <c r="AO503" i="14"/>
  <c r="AO502" i="14"/>
  <c r="AO501" i="14"/>
  <c r="AO500" i="14"/>
  <c r="AO499" i="14"/>
  <c r="AO498" i="14"/>
  <c r="AO497" i="14"/>
  <c r="AO496" i="14"/>
  <c r="AO495" i="14"/>
  <c r="AO494" i="14"/>
  <c r="AO493" i="14"/>
  <c r="AO492" i="14"/>
  <c r="AO491" i="14"/>
  <c r="AO490" i="14"/>
  <c r="AO489" i="14"/>
  <c r="AO488" i="14"/>
  <c r="AO487" i="14"/>
  <c r="AO486" i="14"/>
  <c r="AO485" i="14"/>
  <c r="AO484" i="14"/>
  <c r="AO483" i="14"/>
  <c r="AO482" i="14"/>
  <c r="AO481" i="14"/>
  <c r="AO480" i="14"/>
  <c r="AO479" i="14"/>
  <c r="AO478" i="14"/>
  <c r="AO477" i="14"/>
  <c r="AO476" i="14"/>
  <c r="AO475" i="14"/>
  <c r="AO474" i="14"/>
  <c r="AO473" i="14"/>
  <c r="AO472" i="14"/>
  <c r="AO471" i="14"/>
  <c r="AO470" i="14"/>
  <c r="AO469" i="14"/>
  <c r="AO468" i="14"/>
  <c r="AO467" i="14"/>
  <c r="AO466" i="14"/>
  <c r="AO465" i="14"/>
  <c r="AO464" i="14"/>
  <c r="AO463" i="14"/>
  <c r="AO462" i="14"/>
  <c r="AO461" i="14"/>
  <c r="AO460" i="14"/>
  <c r="AO459" i="14"/>
  <c r="AO458" i="14"/>
  <c r="AO457" i="14"/>
  <c r="AO456" i="14"/>
  <c r="AO455" i="14"/>
  <c r="AO454" i="14"/>
  <c r="AO453" i="14"/>
  <c r="AO452" i="14"/>
  <c r="AO451" i="14"/>
  <c r="AO450" i="14"/>
  <c r="AO449" i="14"/>
  <c r="AO448" i="14"/>
  <c r="AO447" i="14"/>
  <c r="AO446" i="14"/>
  <c r="AO445" i="14"/>
  <c r="AO444" i="14"/>
  <c r="AO443" i="14"/>
  <c r="AO442" i="14"/>
  <c r="AO441" i="14"/>
  <c r="AO440" i="14"/>
  <c r="AO439" i="14"/>
  <c r="AO438" i="14"/>
  <c r="AO437" i="14"/>
  <c r="AO436" i="14"/>
  <c r="AO435" i="14"/>
  <c r="AO434" i="14"/>
  <c r="AO433" i="14"/>
  <c r="AO432" i="14"/>
  <c r="AO431" i="14"/>
  <c r="AO430" i="14"/>
  <c r="AO429" i="14"/>
  <c r="AN427" i="14"/>
  <c r="AK12" i="10" s="1"/>
  <c r="AM427" i="14"/>
  <c r="AM428" i="14" s="1"/>
  <c r="AL427" i="14"/>
  <c r="AG12" i="10" s="1"/>
  <c r="AG13" i="10" s="1"/>
  <c r="AG14" i="10" s="1"/>
  <c r="AK427" i="14"/>
  <c r="AK428" i="14" s="1"/>
  <c r="AJ427" i="14"/>
  <c r="AE12" i="10" s="1"/>
  <c r="AI427" i="14"/>
  <c r="AI428" i="14" s="1"/>
  <c r="AH427" i="14"/>
  <c r="AC12" i="10" s="1"/>
  <c r="AG427" i="14"/>
  <c r="AB12" i="10" s="1"/>
  <c r="AF427" i="14"/>
  <c r="AA12" i="10" s="1"/>
  <c r="AE427" i="14"/>
  <c r="AE428" i="14" s="1"/>
  <c r="AD427" i="14"/>
  <c r="Y12" i="10" s="1"/>
  <c r="AC427" i="14"/>
  <c r="AC428" i="14" s="1"/>
  <c r="AB427" i="14"/>
  <c r="W12" i="10" s="1"/>
  <c r="AA427" i="14"/>
  <c r="V12" i="10" s="1"/>
  <c r="Z427" i="14"/>
  <c r="U12" i="10" s="1"/>
  <c r="Y427" i="14"/>
  <c r="T12" i="10" s="1"/>
  <c r="X427" i="14"/>
  <c r="S12" i="10" s="1"/>
  <c r="W427" i="14"/>
  <c r="R12" i="10" s="1"/>
  <c r="V427" i="14"/>
  <c r="Q12" i="10" s="1"/>
  <c r="U427" i="14"/>
  <c r="P12" i="10" s="1"/>
  <c r="T427" i="14"/>
  <c r="O12" i="10" s="1"/>
  <c r="S427" i="14"/>
  <c r="N12" i="10" s="1"/>
  <c r="R427" i="14"/>
  <c r="M12" i="10" s="1"/>
  <c r="Q427" i="14"/>
  <c r="P427" i="14"/>
  <c r="O427" i="14"/>
  <c r="J12" i="10" s="1"/>
  <c r="N427" i="14"/>
  <c r="N428" i="14" s="1"/>
  <c r="M427" i="14"/>
  <c r="H12" i="10" s="1"/>
  <c r="L427" i="14"/>
  <c r="L428" i="14" s="1"/>
  <c r="K427" i="14"/>
  <c r="F12" i="10" s="1"/>
  <c r="J427" i="14"/>
  <c r="E12" i="10" s="1"/>
  <c r="I427" i="14"/>
  <c r="D12" i="10" s="1"/>
  <c r="AO426" i="14"/>
  <c r="AO425" i="14"/>
  <c r="AO405" i="14"/>
  <c r="AO404" i="14"/>
  <c r="AO403" i="14"/>
  <c r="AO402" i="14"/>
  <c r="AO401" i="14"/>
  <c r="AO400" i="14"/>
  <c r="AO399" i="14"/>
  <c r="AO398" i="14"/>
  <c r="AO397" i="14"/>
  <c r="AO396" i="14"/>
  <c r="AO395" i="14"/>
  <c r="AO394" i="14"/>
  <c r="AO393" i="14"/>
  <c r="AO392" i="14"/>
  <c r="AO391" i="14"/>
  <c r="AO390" i="14"/>
  <c r="AO389" i="14"/>
  <c r="AO388" i="14"/>
  <c r="AO387" i="14"/>
  <c r="AO386" i="14"/>
  <c r="AO385" i="14"/>
  <c r="AO384" i="14"/>
  <c r="AO383" i="14"/>
  <c r="AO382" i="14"/>
  <c r="AO381" i="14"/>
  <c r="AO380" i="14"/>
  <c r="AO379" i="14"/>
  <c r="AO378" i="14"/>
  <c r="AO377" i="14"/>
  <c r="AO376" i="14"/>
  <c r="AO375" i="14"/>
  <c r="AO374" i="14"/>
  <c r="AO373" i="14"/>
  <c r="AO372" i="14"/>
  <c r="AO371" i="14"/>
  <c r="AO370" i="14"/>
  <c r="AO369" i="14"/>
  <c r="AO368" i="14"/>
  <c r="AO367" i="14"/>
  <c r="AO366" i="14"/>
  <c r="AO365" i="14"/>
  <c r="AO364" i="14"/>
  <c r="AO363" i="14"/>
  <c r="AO362" i="14"/>
  <c r="AO361" i="14"/>
  <c r="AO360" i="14"/>
  <c r="AO359" i="14"/>
  <c r="AO358" i="14"/>
  <c r="AO357" i="14"/>
  <c r="AO356" i="14"/>
  <c r="AO355" i="14"/>
  <c r="AO354" i="14"/>
  <c r="AO353" i="14"/>
  <c r="AO352" i="14"/>
  <c r="AO351" i="14"/>
  <c r="AO350" i="14"/>
  <c r="AO349" i="14"/>
  <c r="AO348" i="14"/>
  <c r="AO347" i="14"/>
  <c r="AO346" i="14"/>
  <c r="AO345" i="14"/>
  <c r="AO344" i="14"/>
  <c r="AO343" i="14"/>
  <c r="AO342" i="14"/>
  <c r="AO341" i="14"/>
  <c r="AO340" i="14"/>
  <c r="AO339" i="14"/>
  <c r="AO338" i="14"/>
  <c r="AO337" i="14"/>
  <c r="AO336" i="14"/>
  <c r="AO335" i="14"/>
  <c r="AO334" i="14"/>
  <c r="AO333" i="14"/>
  <c r="AO332" i="14"/>
  <c r="AO331" i="14"/>
  <c r="AO330" i="14"/>
  <c r="AO329" i="14"/>
  <c r="AO328" i="14"/>
  <c r="AO327" i="14"/>
  <c r="AO326" i="14"/>
  <c r="AO325" i="14"/>
  <c r="AO324" i="14"/>
  <c r="AO323" i="14"/>
  <c r="AO322" i="14"/>
  <c r="AO321" i="14"/>
  <c r="AO320" i="14"/>
  <c r="AO319" i="14"/>
  <c r="AO318" i="14"/>
  <c r="AO317" i="14"/>
  <c r="AO316" i="14"/>
  <c r="AO315" i="14"/>
  <c r="AO314" i="14"/>
  <c r="AO313" i="14"/>
  <c r="AO312" i="14"/>
  <c r="AO311" i="14"/>
  <c r="AO310" i="14"/>
  <c r="AO309" i="14"/>
  <c r="AO308" i="14"/>
  <c r="AO307" i="14"/>
  <c r="AO306" i="14"/>
  <c r="AO305" i="14"/>
  <c r="AO304" i="14"/>
  <c r="AO303" i="14"/>
  <c r="AO302" i="14"/>
  <c r="AO301" i="14"/>
  <c r="AO300" i="14"/>
  <c r="AO299" i="14"/>
  <c r="AO298" i="14"/>
  <c r="AO297" i="14"/>
  <c r="AO296" i="14"/>
  <c r="AO295" i="14"/>
  <c r="AO294" i="14"/>
  <c r="AO293" i="14"/>
  <c r="AO292" i="14"/>
  <c r="AO291" i="14"/>
  <c r="AO290" i="14"/>
  <c r="AO289" i="14"/>
  <c r="AO288" i="14"/>
  <c r="AO287" i="14"/>
  <c r="AO286" i="14"/>
  <c r="AO285" i="14"/>
  <c r="AO284" i="14"/>
  <c r="AO283" i="14"/>
  <c r="AO282" i="14"/>
  <c r="AO281" i="14"/>
  <c r="AO280" i="14"/>
  <c r="AO279" i="14"/>
  <c r="AO278" i="14"/>
  <c r="AO277" i="14"/>
  <c r="AO276" i="14"/>
  <c r="AO275" i="14"/>
  <c r="AO274" i="14"/>
  <c r="AO273" i="14"/>
  <c r="AO272" i="14"/>
  <c r="AO271" i="14"/>
  <c r="AO270" i="14"/>
  <c r="AO269" i="14"/>
  <c r="AO268" i="14"/>
  <c r="AO267" i="14"/>
  <c r="AO266" i="14"/>
  <c r="AO265" i="14"/>
  <c r="AO264" i="14"/>
  <c r="AO263" i="14"/>
  <c r="AO262" i="14"/>
  <c r="AO261" i="14"/>
  <c r="AO260" i="14"/>
  <c r="AO259" i="14"/>
  <c r="AO258" i="14"/>
  <c r="AO257" i="14"/>
  <c r="AO256" i="14"/>
  <c r="AO255" i="14"/>
  <c r="AO254" i="14"/>
  <c r="AO253" i="14"/>
  <c r="AO252" i="14"/>
  <c r="AO251" i="14"/>
  <c r="AO250" i="14"/>
  <c r="AO249" i="14"/>
  <c r="AO248" i="14"/>
  <c r="AO247" i="14"/>
  <c r="AO246" i="14"/>
  <c r="AO245" i="14"/>
  <c r="AO244" i="14"/>
  <c r="AO243" i="14"/>
  <c r="AO242" i="14"/>
  <c r="AO241" i="14"/>
  <c r="AO240" i="14"/>
  <c r="AO239" i="14"/>
  <c r="AO238" i="14"/>
  <c r="AO237" i="14"/>
  <c r="AO236" i="14"/>
  <c r="AO235" i="14"/>
  <c r="AO234" i="14"/>
  <c r="AO233" i="14"/>
  <c r="AO232" i="14"/>
  <c r="AO231" i="14"/>
  <c r="AO230" i="14"/>
  <c r="AO229" i="14"/>
  <c r="AO228" i="14"/>
  <c r="AO226" i="14"/>
  <c r="AO225" i="14"/>
  <c r="AP225" i="14" s="1"/>
  <c r="AN223" i="14"/>
  <c r="AK7" i="10" s="1"/>
  <c r="AM223" i="14"/>
  <c r="AH7" i="10" s="1"/>
  <c r="AH8" i="10" s="1"/>
  <c r="AL223" i="14"/>
  <c r="AG7" i="10" s="1"/>
  <c r="AG8" i="10" s="1"/>
  <c r="AK223" i="14"/>
  <c r="AF7" i="10" s="1"/>
  <c r="AF8" i="10" s="1"/>
  <c r="AJ223" i="14"/>
  <c r="AE7" i="10" s="1"/>
  <c r="AE8" i="10" s="1"/>
  <c r="AI223" i="14"/>
  <c r="AD7" i="10" s="1"/>
  <c r="AH223" i="14"/>
  <c r="AC7" i="10" s="1"/>
  <c r="AG223" i="14"/>
  <c r="AB7" i="10" s="1"/>
  <c r="AF223" i="14"/>
  <c r="AA7" i="10" s="1"/>
  <c r="AE223" i="14"/>
  <c r="Z7" i="10" s="1"/>
  <c r="AD223" i="14"/>
  <c r="Y7" i="10" s="1"/>
  <c r="AC223" i="14"/>
  <c r="AB223" i="14"/>
  <c r="W7" i="10" s="1"/>
  <c r="AA223" i="14"/>
  <c r="V7" i="10" s="1"/>
  <c r="Z223" i="14"/>
  <c r="Y223" i="14"/>
  <c r="T7" i="10" s="1"/>
  <c r="X223" i="14"/>
  <c r="S7" i="10" s="1"/>
  <c r="W223" i="14"/>
  <c r="R7" i="10" s="1"/>
  <c r="V223" i="14"/>
  <c r="Q7" i="10" s="1"/>
  <c r="U223" i="14"/>
  <c r="P7" i="10" s="1"/>
  <c r="T223" i="14"/>
  <c r="O7" i="10" s="1"/>
  <c r="S223" i="14"/>
  <c r="N7" i="10" s="1"/>
  <c r="R223" i="14"/>
  <c r="M7" i="10" s="1"/>
  <c r="Q223" i="14"/>
  <c r="P223" i="14"/>
  <c r="O223" i="14"/>
  <c r="N223" i="14"/>
  <c r="I7" i="10" s="1"/>
  <c r="M223" i="14"/>
  <c r="L223" i="14"/>
  <c r="G7" i="10" s="1"/>
  <c r="K223" i="14"/>
  <c r="J223" i="14"/>
  <c r="I223" i="14"/>
  <c r="I224" i="14" s="1"/>
  <c r="AO222" i="14"/>
  <c r="AO221" i="14"/>
  <c r="AO220" i="14"/>
  <c r="AO219" i="14"/>
  <c r="AO218" i="14"/>
  <c r="AO217" i="14"/>
  <c r="AO216" i="14"/>
  <c r="AO215" i="14"/>
  <c r="AO214" i="14"/>
  <c r="AO213" i="14"/>
  <c r="AO212" i="14"/>
  <c r="AO211" i="14"/>
  <c r="AO210" i="14"/>
  <c r="AO209" i="14"/>
  <c r="AO208" i="14"/>
  <c r="AO207" i="14"/>
  <c r="AO206" i="14"/>
  <c r="AO205" i="14"/>
  <c r="AO204" i="14"/>
  <c r="AO203" i="14"/>
  <c r="AO202" i="14"/>
  <c r="AO201" i="14"/>
  <c r="AO200" i="14"/>
  <c r="AO199" i="14"/>
  <c r="AO198" i="14"/>
  <c r="AO197" i="14"/>
  <c r="AO196" i="14"/>
  <c r="AO195" i="14"/>
  <c r="AO194" i="14"/>
  <c r="AO193" i="14"/>
  <c r="AO192" i="14"/>
  <c r="AO191" i="14"/>
  <c r="AO190" i="14"/>
  <c r="AO189" i="14"/>
  <c r="AO188" i="14"/>
  <c r="AO187" i="14"/>
  <c r="AO186" i="14"/>
  <c r="AO185" i="14"/>
  <c r="AO184" i="14"/>
  <c r="AO183" i="14"/>
  <c r="AO182" i="14"/>
  <c r="AO181" i="14"/>
  <c r="AO180" i="14"/>
  <c r="AO179" i="14"/>
  <c r="AO178" i="14"/>
  <c r="AO177" i="14"/>
  <c r="AO176" i="14"/>
  <c r="AO175" i="14"/>
  <c r="AO174" i="14"/>
  <c r="AO173" i="14"/>
  <c r="AO172" i="14"/>
  <c r="AO171" i="14"/>
  <c r="AL1149" i="14" s="1"/>
  <c r="AO170" i="14"/>
  <c r="AO169" i="14"/>
  <c r="AO168" i="14"/>
  <c r="AO167" i="14"/>
  <c r="AO166" i="14"/>
  <c r="AO165" i="14"/>
  <c r="AO164" i="14"/>
  <c r="AO163" i="14"/>
  <c r="AO162" i="14"/>
  <c r="AO161" i="14"/>
  <c r="AO160" i="14"/>
  <c r="AO159" i="14"/>
  <c r="AO158" i="14"/>
  <c r="AO157" i="14"/>
  <c r="AO156" i="14"/>
  <c r="AO155" i="14"/>
  <c r="AO154" i="14"/>
  <c r="AO153" i="14"/>
  <c r="AO152" i="14"/>
  <c r="AO151" i="14"/>
  <c r="AO150" i="14"/>
  <c r="AO149" i="14"/>
  <c r="AO148" i="14"/>
  <c r="AO147" i="14"/>
  <c r="AO146" i="14"/>
  <c r="AO145" i="14"/>
  <c r="AO144" i="14"/>
  <c r="AO143" i="14"/>
  <c r="AO142" i="14"/>
  <c r="AO141" i="14"/>
  <c r="AO140" i="14"/>
  <c r="AO139" i="14"/>
  <c r="AO138" i="14"/>
  <c r="AO137" i="14"/>
  <c r="AO136" i="14"/>
  <c r="AO135" i="14"/>
  <c r="AO134" i="14"/>
  <c r="AO133" i="14"/>
  <c r="AO132" i="14"/>
  <c r="AO131" i="14"/>
  <c r="AO130" i="14"/>
  <c r="AO129" i="14"/>
  <c r="AO128" i="14"/>
  <c r="AO127" i="14"/>
  <c r="AO126" i="14"/>
  <c r="AO125" i="14"/>
  <c r="AO124" i="14"/>
  <c r="AO123" i="14"/>
  <c r="AO122" i="14"/>
  <c r="AO121" i="14"/>
  <c r="AO120" i="14"/>
  <c r="AO119" i="14"/>
  <c r="AO118" i="14"/>
  <c r="AO117" i="14"/>
  <c r="AO116" i="14"/>
  <c r="AO115" i="14"/>
  <c r="AO114" i="14"/>
  <c r="AO113" i="14"/>
  <c r="AO112" i="14"/>
  <c r="AO111" i="14"/>
  <c r="AO110" i="14"/>
  <c r="AO109" i="14"/>
  <c r="AO108" i="14"/>
  <c r="AO107" i="14"/>
  <c r="AO106" i="14"/>
  <c r="AO105" i="14"/>
  <c r="AO104" i="14"/>
  <c r="AO103" i="14"/>
  <c r="AO102" i="14"/>
  <c r="AO101" i="14"/>
  <c r="AO100" i="14"/>
  <c r="AO99" i="14"/>
  <c r="AO98" i="14"/>
  <c r="AO97" i="14"/>
  <c r="AO96" i="14"/>
  <c r="AO95" i="14"/>
  <c r="AO94" i="14"/>
  <c r="AO93" i="14"/>
  <c r="AO92" i="14"/>
  <c r="AO91" i="14"/>
  <c r="AO90" i="14"/>
  <c r="AO89" i="14"/>
  <c r="AO88" i="14"/>
  <c r="AO87" i="14"/>
  <c r="AO86" i="14"/>
  <c r="AO85" i="14"/>
  <c r="AO84" i="14"/>
  <c r="AO69" i="14"/>
  <c r="AO68" i="14"/>
  <c r="AO67" i="14"/>
  <c r="AO66" i="14"/>
  <c r="AO65" i="14"/>
  <c r="AO64" i="14"/>
  <c r="AO63" i="14"/>
  <c r="AO62" i="14"/>
  <c r="AO61" i="14"/>
  <c r="AO60" i="14"/>
  <c r="AO59" i="14"/>
  <c r="AO58" i="14"/>
  <c r="AO57" i="14"/>
  <c r="AO56" i="14"/>
  <c r="AO55" i="14"/>
  <c r="AO54" i="14"/>
  <c r="AO53" i="14"/>
  <c r="AO52" i="14"/>
  <c r="AO51" i="14"/>
  <c r="AO50" i="14"/>
  <c r="AO49" i="14"/>
  <c r="AO48" i="14"/>
  <c r="AO47" i="14"/>
  <c r="AO46" i="14"/>
  <c r="AO45" i="14"/>
  <c r="AO44" i="14"/>
  <c r="AO43" i="14"/>
  <c r="AO42" i="14"/>
  <c r="AO41" i="14"/>
  <c r="AO40" i="14"/>
  <c r="AO39" i="14"/>
  <c r="AO38" i="14"/>
  <c r="AO37" i="14"/>
  <c r="AO36" i="14"/>
  <c r="AO35" i="14"/>
  <c r="AO34" i="14"/>
  <c r="AO33" i="14"/>
  <c r="AO32" i="14"/>
  <c r="AO31" i="14"/>
  <c r="AO30" i="14"/>
  <c r="AO29" i="14"/>
  <c r="AO28" i="14"/>
  <c r="AO27" i="14"/>
  <c r="AO26" i="14"/>
  <c r="AO25" i="14"/>
  <c r="AO24" i="14"/>
  <c r="AO23" i="14"/>
  <c r="AO22" i="14"/>
  <c r="AO21" i="14"/>
  <c r="AO20" i="14"/>
  <c r="AO19" i="14"/>
  <c r="AO18" i="14"/>
  <c r="AO17" i="14"/>
  <c r="AO16" i="14"/>
  <c r="AO15" i="14"/>
  <c r="AO14" i="14"/>
  <c r="AO13" i="14"/>
  <c r="AO12" i="14"/>
  <c r="AO11" i="14"/>
  <c r="AO10" i="14"/>
  <c r="AO9" i="14"/>
  <c r="AO8" i="14"/>
  <c r="AO7" i="14"/>
  <c r="AO6" i="14"/>
  <c r="AO5" i="14"/>
  <c r="AJ405" i="12"/>
  <c r="AJ404" i="12"/>
  <c r="AJ403" i="12"/>
  <c r="AJ402" i="12"/>
  <c r="AJ401" i="12"/>
  <c r="AJ400" i="12"/>
  <c r="AJ399" i="12"/>
  <c r="AJ398" i="12"/>
  <c r="AJ397" i="12"/>
  <c r="AJ396" i="12"/>
  <c r="AJ395" i="12"/>
  <c r="AJ394" i="12"/>
  <c r="AJ393" i="12"/>
  <c r="AJ392" i="12"/>
  <c r="AJ391" i="12"/>
  <c r="AJ390" i="12"/>
  <c r="AJ389" i="12"/>
  <c r="AJ388" i="12"/>
  <c r="AJ387" i="12"/>
  <c r="AJ386" i="12"/>
  <c r="AJ385" i="12"/>
  <c r="AJ384" i="12"/>
  <c r="AJ383" i="12"/>
  <c r="AJ382" i="12"/>
  <c r="AJ381" i="12"/>
  <c r="AJ380" i="12"/>
  <c r="AJ379" i="12"/>
  <c r="AJ378" i="12"/>
  <c r="AJ377" i="12"/>
  <c r="AJ376" i="12"/>
  <c r="AJ375" i="12"/>
  <c r="AJ374" i="12"/>
  <c r="AJ373" i="12"/>
  <c r="AJ372" i="12"/>
  <c r="AJ371" i="12"/>
  <c r="AJ370" i="12"/>
  <c r="AJ369" i="12"/>
  <c r="AJ368" i="12"/>
  <c r="AJ367" i="12"/>
  <c r="AJ366" i="12"/>
  <c r="AJ365" i="12"/>
  <c r="AJ364" i="12"/>
  <c r="AJ363" i="12"/>
  <c r="AI361" i="12"/>
  <c r="AH361" i="12"/>
  <c r="AJ21" i="10" s="1"/>
  <c r="AJ23" i="10" s="1"/>
  <c r="AG361" i="12"/>
  <c r="AF361" i="12"/>
  <c r="AF362" i="12" s="1"/>
  <c r="AF406" i="12" s="1"/>
  <c r="AE361" i="12"/>
  <c r="AD361" i="12"/>
  <c r="Z21" i="10" s="1"/>
  <c r="AC361" i="12"/>
  <c r="AB361" i="12"/>
  <c r="X21" i="10" s="1"/>
  <c r="AA361" i="12"/>
  <c r="Z361" i="12"/>
  <c r="V21" i="10" s="1"/>
  <c r="Y361" i="12"/>
  <c r="X361" i="12"/>
  <c r="T21" i="10" s="1"/>
  <c r="W361" i="12"/>
  <c r="V361" i="12"/>
  <c r="V406" i="12" s="1"/>
  <c r="T26" i="10" s="1"/>
  <c r="U361" i="12"/>
  <c r="T361" i="12"/>
  <c r="P21" i="10" s="1"/>
  <c r="S361" i="12"/>
  <c r="R361" i="12"/>
  <c r="N21" i="10" s="1"/>
  <c r="Q361" i="12"/>
  <c r="P361" i="12"/>
  <c r="L21" i="10" s="1"/>
  <c r="O361" i="12"/>
  <c r="N361" i="12"/>
  <c r="J21" i="10" s="1"/>
  <c r="M361" i="12"/>
  <c r="L361" i="12"/>
  <c r="H21" i="10" s="1"/>
  <c r="K361" i="12"/>
  <c r="J361" i="12"/>
  <c r="F21" i="10" s="1"/>
  <c r="I361" i="12"/>
  <c r="H361" i="12"/>
  <c r="D21" i="10" s="1"/>
  <c r="AJ360" i="12"/>
  <c r="AJ359" i="12"/>
  <c r="AJ358" i="12"/>
  <c r="AK358" i="12" s="1"/>
  <c r="AJ357" i="12"/>
  <c r="AJ356" i="12"/>
  <c r="AJ355" i="12"/>
  <c r="AJ354" i="12"/>
  <c r="AJ353" i="12"/>
  <c r="AJ352" i="12"/>
  <c r="AJ351" i="12"/>
  <c r="AJ350" i="12"/>
  <c r="AI348" i="12"/>
  <c r="AI349" i="12" s="1"/>
  <c r="AH348" i="12"/>
  <c r="AJ16" i="10" s="1"/>
  <c r="AJ18" i="10" s="1"/>
  <c r="AJ19" i="10" s="1"/>
  <c r="AG348" i="12"/>
  <c r="AF348" i="12"/>
  <c r="AD16" i="10" s="1"/>
  <c r="AE348" i="12"/>
  <c r="AC16" i="10" s="1"/>
  <c r="AD348" i="12"/>
  <c r="AB16" i="10" s="1"/>
  <c r="AC348" i="12"/>
  <c r="AB348" i="12"/>
  <c r="AB349" i="12" s="1"/>
  <c r="AA348" i="12"/>
  <c r="Z348" i="12"/>
  <c r="V16" i="10" s="1"/>
  <c r="Y348" i="12"/>
  <c r="U16" i="10" s="1"/>
  <c r="X348" i="12"/>
  <c r="T16" i="10" s="1"/>
  <c r="W348" i="12"/>
  <c r="V348" i="12"/>
  <c r="R16" i="10" s="1"/>
  <c r="U348" i="12"/>
  <c r="T348" i="12"/>
  <c r="Q16" i="10" s="1"/>
  <c r="S348" i="12"/>
  <c r="O16" i="10" s="1"/>
  <c r="R348" i="12"/>
  <c r="N16" i="10" s="1"/>
  <c r="Q348" i="12"/>
  <c r="M16" i="10" s="1"/>
  <c r="P348" i="12"/>
  <c r="L16" i="10" s="1"/>
  <c r="O348" i="12"/>
  <c r="N348" i="12"/>
  <c r="J16" i="10" s="1"/>
  <c r="M348" i="12"/>
  <c r="L348" i="12"/>
  <c r="H16" i="10" s="1"/>
  <c r="K348" i="12"/>
  <c r="J348" i="12"/>
  <c r="F16" i="10" s="1"/>
  <c r="I348" i="12"/>
  <c r="E16" i="10" s="1"/>
  <c r="H348" i="12"/>
  <c r="D16" i="10" s="1"/>
  <c r="AJ347" i="12"/>
  <c r="AJ346" i="12"/>
  <c r="AJ345" i="12"/>
  <c r="AJ344" i="12"/>
  <c r="AJ343" i="12"/>
  <c r="AJ342" i="12"/>
  <c r="AJ341" i="12"/>
  <c r="AJ340" i="12"/>
  <c r="AJ339" i="12"/>
  <c r="AJ338" i="12"/>
  <c r="AJ337" i="12"/>
  <c r="AJ336" i="12"/>
  <c r="AJ335" i="12"/>
  <c r="AJ334" i="12"/>
  <c r="AJ333" i="12"/>
  <c r="AJ332" i="12"/>
  <c r="AJ331" i="12"/>
  <c r="AJ330" i="12"/>
  <c r="AJ329" i="12"/>
  <c r="AJ328" i="12"/>
  <c r="AJ327" i="12"/>
  <c r="AJ326" i="12"/>
  <c r="AJ325" i="12"/>
  <c r="AJ324" i="12"/>
  <c r="AJ323" i="12"/>
  <c r="AJ322" i="12"/>
  <c r="AJ321" i="12"/>
  <c r="AJ320" i="12"/>
  <c r="AJ319" i="12"/>
  <c r="AJ318" i="12"/>
  <c r="AJ317" i="12"/>
  <c r="AJ316" i="12"/>
  <c r="AJ315" i="12"/>
  <c r="AJ314" i="12"/>
  <c r="AJ313" i="12"/>
  <c r="AJ312" i="12"/>
  <c r="AJ311" i="12"/>
  <c r="AJ310" i="12"/>
  <c r="AJ309" i="12"/>
  <c r="AJ308" i="12"/>
  <c r="AJ307" i="12"/>
  <c r="AJ306" i="12"/>
  <c r="AJ305" i="12"/>
  <c r="AJ304" i="12"/>
  <c r="AJ303" i="12"/>
  <c r="AJ302" i="12"/>
  <c r="AJ301" i="12"/>
  <c r="AJ300" i="12"/>
  <c r="AJ299" i="12"/>
  <c r="AJ298" i="12"/>
  <c r="AJ297" i="12"/>
  <c r="AJ296" i="12"/>
  <c r="AJ295" i="12"/>
  <c r="AJ294" i="12"/>
  <c r="AJ293" i="12"/>
  <c r="AJ292" i="12"/>
  <c r="AJ291" i="12"/>
  <c r="AJ290" i="12"/>
  <c r="AJ289" i="12"/>
  <c r="AJ288" i="12"/>
  <c r="AJ287" i="12"/>
  <c r="AJ286" i="12"/>
  <c r="AJ285" i="12"/>
  <c r="AJ284" i="12"/>
  <c r="AJ283" i="12"/>
  <c r="AJ282" i="12"/>
  <c r="AJ281" i="12"/>
  <c r="AJ280" i="12"/>
  <c r="AJ279" i="12"/>
  <c r="AJ278" i="12"/>
  <c r="AJ277" i="12"/>
  <c r="AJ276" i="12"/>
  <c r="AJ275" i="12"/>
  <c r="AJ274" i="12"/>
  <c r="AJ273" i="12"/>
  <c r="AJ272" i="12"/>
  <c r="AJ271" i="12"/>
  <c r="AJ270" i="12"/>
  <c r="AJ269" i="12"/>
  <c r="AJ268" i="12"/>
  <c r="AJ267" i="12"/>
  <c r="AJ266" i="12"/>
  <c r="AJ265" i="12"/>
  <c r="AJ264" i="12"/>
  <c r="AJ263" i="12"/>
  <c r="AJ262" i="12"/>
  <c r="AJ261" i="12"/>
  <c r="AJ260" i="12"/>
  <c r="AJ259" i="12"/>
  <c r="AJ258" i="12"/>
  <c r="AJ257" i="12"/>
  <c r="AJ256" i="12"/>
  <c r="AJ255" i="12"/>
  <c r="AJ254" i="12"/>
  <c r="AJ253" i="12"/>
  <c r="AJ252" i="12"/>
  <c r="AJ251" i="12"/>
  <c r="AJ250" i="12"/>
  <c r="AJ249" i="12"/>
  <c r="AJ248" i="12"/>
  <c r="AJ247" i="12"/>
  <c r="AJ246" i="12"/>
  <c r="AJ245" i="12"/>
  <c r="AJ244" i="12"/>
  <c r="AJ243" i="12"/>
  <c r="AJ242" i="12"/>
  <c r="AJ241" i="12"/>
  <c r="AJ240" i="12"/>
  <c r="AJ239" i="12"/>
  <c r="AJ238" i="12"/>
  <c r="AJ237" i="12"/>
  <c r="AJ236" i="12"/>
  <c r="AJ235" i="12"/>
  <c r="AJ234" i="12"/>
  <c r="AJ233" i="12"/>
  <c r="AJ232" i="12"/>
  <c r="AJ231" i="12"/>
  <c r="AJ230" i="12"/>
  <c r="AJ229" i="12"/>
  <c r="AJ228" i="12"/>
  <c r="AJ227" i="12"/>
  <c r="AJ226" i="12"/>
  <c r="AJ225" i="12"/>
  <c r="AJ224" i="12"/>
  <c r="AJ223" i="12"/>
  <c r="AJ222" i="12"/>
  <c r="AJ221" i="12"/>
  <c r="AJ220" i="12"/>
  <c r="AJ219" i="12"/>
  <c r="AJ218" i="12"/>
  <c r="AJ217" i="12"/>
  <c r="AJ216" i="12"/>
  <c r="AJ215" i="12"/>
  <c r="AJ214" i="12"/>
  <c r="AJ213" i="12"/>
  <c r="AJ212" i="12"/>
  <c r="AJ211" i="12"/>
  <c r="AJ210" i="12"/>
  <c r="AJ209" i="12"/>
  <c r="AJ208" i="12"/>
  <c r="AJ207" i="12"/>
  <c r="AJ206" i="12"/>
  <c r="AJ205" i="12"/>
  <c r="AJ204" i="12"/>
  <c r="AJ203" i="12"/>
  <c r="AJ202" i="12"/>
  <c r="AJ201" i="12"/>
  <c r="AJ200" i="12"/>
  <c r="AJ199" i="12"/>
  <c r="AJ198" i="12"/>
  <c r="AJ197" i="12"/>
  <c r="AJ196" i="12"/>
  <c r="AJ195" i="12"/>
  <c r="AJ194" i="12"/>
  <c r="AJ193" i="12"/>
  <c r="AJ192" i="12"/>
  <c r="AJ191" i="12"/>
  <c r="AJ190" i="12"/>
  <c r="AJ189" i="12"/>
  <c r="AI187" i="12"/>
  <c r="AH187" i="12"/>
  <c r="AJ11" i="10" s="1"/>
  <c r="AG187" i="12"/>
  <c r="AF187" i="12"/>
  <c r="AD11" i="10" s="1"/>
  <c r="AE187" i="12"/>
  <c r="AC11" i="10" s="1"/>
  <c r="AD187" i="12"/>
  <c r="AB11" i="10" s="1"/>
  <c r="AC187" i="12"/>
  <c r="AB187" i="12"/>
  <c r="Z11" i="10" s="1"/>
  <c r="AA187" i="12"/>
  <c r="Z187" i="12"/>
  <c r="X11" i="10" s="1"/>
  <c r="Y187" i="12"/>
  <c r="W11" i="10" s="1"/>
  <c r="X187" i="12"/>
  <c r="V11" i="10" s="1"/>
  <c r="W187" i="12"/>
  <c r="V187" i="12"/>
  <c r="T11" i="10" s="1"/>
  <c r="U187" i="12"/>
  <c r="T187" i="12"/>
  <c r="S187" i="12"/>
  <c r="O11" i="10" s="1"/>
  <c r="R187" i="12"/>
  <c r="N11" i="10" s="1"/>
  <c r="Q187" i="12"/>
  <c r="M11" i="10" s="1"/>
  <c r="P187" i="12"/>
  <c r="L11" i="10" s="1"/>
  <c r="O187" i="12"/>
  <c r="N187" i="12"/>
  <c r="J11" i="10" s="1"/>
  <c r="M187" i="12"/>
  <c r="L187" i="12"/>
  <c r="H11" i="10" s="1"/>
  <c r="K187" i="12"/>
  <c r="J187" i="12"/>
  <c r="F11" i="10" s="1"/>
  <c r="I187" i="12"/>
  <c r="E11" i="10" s="1"/>
  <c r="H187" i="12"/>
  <c r="D11" i="10" s="1"/>
  <c r="AJ186" i="12"/>
  <c r="AJ185" i="12"/>
  <c r="AJ184" i="12"/>
  <c r="AJ183" i="12"/>
  <c r="AJ182" i="12"/>
  <c r="AJ181" i="12"/>
  <c r="AJ180" i="12"/>
  <c r="AJ179" i="12"/>
  <c r="AJ178" i="12"/>
  <c r="AJ177" i="12"/>
  <c r="AJ176" i="12"/>
  <c r="AJ175" i="12"/>
  <c r="AJ174" i="12"/>
  <c r="AJ173" i="12"/>
  <c r="AJ172" i="12"/>
  <c r="AJ171" i="12"/>
  <c r="AJ170" i="12"/>
  <c r="AJ169" i="12"/>
  <c r="AJ168" i="12"/>
  <c r="AJ167" i="12"/>
  <c r="AJ166" i="12"/>
  <c r="AJ165" i="12"/>
  <c r="AJ164" i="12"/>
  <c r="AJ163" i="12"/>
  <c r="AJ162" i="12"/>
  <c r="AJ161" i="12"/>
  <c r="AJ160" i="12"/>
  <c r="AJ159" i="12"/>
  <c r="AJ158" i="12"/>
  <c r="AJ157" i="12"/>
  <c r="AJ156" i="12"/>
  <c r="AJ155" i="12"/>
  <c r="AJ154" i="12"/>
  <c r="AJ153" i="12"/>
  <c r="AJ152" i="12"/>
  <c r="AJ151" i="12"/>
  <c r="AJ150" i="12"/>
  <c r="AJ149" i="12"/>
  <c r="AJ148" i="12"/>
  <c r="AJ147" i="12"/>
  <c r="AJ146" i="12"/>
  <c r="AJ145" i="12"/>
  <c r="AJ144" i="12"/>
  <c r="AJ143" i="12"/>
  <c r="AJ142" i="12"/>
  <c r="AJ141" i="12"/>
  <c r="AJ140" i="12"/>
  <c r="AJ139" i="12"/>
  <c r="AJ138" i="12"/>
  <c r="AJ137" i="12"/>
  <c r="AJ136" i="12"/>
  <c r="AJ135" i="12"/>
  <c r="AJ134" i="12"/>
  <c r="AJ133" i="12"/>
  <c r="AJ132" i="12"/>
  <c r="AJ131" i="12"/>
  <c r="AJ130" i="12"/>
  <c r="AJ129" i="12"/>
  <c r="AJ128" i="12"/>
  <c r="AJ127" i="12"/>
  <c r="AJ126" i="12"/>
  <c r="AJ125" i="12"/>
  <c r="AJ124" i="12"/>
  <c r="AJ123" i="12"/>
  <c r="AJ122" i="12"/>
  <c r="AJ121" i="12"/>
  <c r="AJ120" i="12"/>
  <c r="AJ119" i="12"/>
  <c r="AJ118" i="12"/>
  <c r="AJ117" i="12"/>
  <c r="AJ116" i="12"/>
  <c r="AJ115" i="12"/>
  <c r="AJ114" i="12"/>
  <c r="AJ113" i="12"/>
  <c r="AJ112" i="12"/>
  <c r="AJ111" i="12"/>
  <c r="AJ110" i="12"/>
  <c r="AJ109" i="12"/>
  <c r="AJ108" i="12"/>
  <c r="AJ107" i="12"/>
  <c r="AJ106" i="12"/>
  <c r="AJ105" i="12"/>
  <c r="AJ104" i="12"/>
  <c r="AJ103" i="12"/>
  <c r="AJ102" i="12"/>
  <c r="AJ101" i="12"/>
  <c r="AJ100" i="12"/>
  <c r="AJ99" i="12"/>
  <c r="AJ98" i="12"/>
  <c r="AK98" i="12" s="1"/>
  <c r="AJ97" i="12"/>
  <c r="AJ96" i="12"/>
  <c r="AJ95" i="12"/>
  <c r="AJ94" i="12"/>
  <c r="AJ93" i="12"/>
  <c r="AJ92" i="12"/>
  <c r="AJ91" i="12"/>
  <c r="AJ90" i="12"/>
  <c r="AJ89" i="12"/>
  <c r="AJ88" i="12"/>
  <c r="AJ87" i="12"/>
  <c r="AJ86" i="12"/>
  <c r="AJ85" i="12"/>
  <c r="AJ84" i="12"/>
  <c r="AJ83" i="12"/>
  <c r="AJ82" i="12"/>
  <c r="AJ81" i="12"/>
  <c r="AK81" i="12" s="1"/>
  <c r="AI79" i="12"/>
  <c r="AK6" i="10" s="1"/>
  <c r="AH79" i="12"/>
  <c r="AG79" i="12"/>
  <c r="AI6" i="10" s="1"/>
  <c r="AI8" i="10" s="1"/>
  <c r="AI9" i="10" s="1"/>
  <c r="AF79" i="12"/>
  <c r="AE79" i="12"/>
  <c r="AC6" i="10" s="1"/>
  <c r="AD79" i="12"/>
  <c r="AC79" i="12"/>
  <c r="AA6" i="10" s="1"/>
  <c r="AB79" i="12"/>
  <c r="AA79" i="12"/>
  <c r="Y6" i="10" s="1"/>
  <c r="Z79" i="12"/>
  <c r="Y79" i="12"/>
  <c r="W6" i="10" s="1"/>
  <c r="X79" i="12"/>
  <c r="W79" i="12"/>
  <c r="U6" i="10" s="1"/>
  <c r="V79" i="12"/>
  <c r="U79" i="12"/>
  <c r="S6" i="10" s="1"/>
  <c r="T79" i="12"/>
  <c r="S79" i="12"/>
  <c r="O6" i="10" s="1"/>
  <c r="R79" i="12"/>
  <c r="Q79" i="12"/>
  <c r="M6" i="10" s="1"/>
  <c r="P79" i="12"/>
  <c r="O79" i="12"/>
  <c r="K6" i="10" s="1"/>
  <c r="N79" i="12"/>
  <c r="J6" i="10" s="1"/>
  <c r="M79" i="12"/>
  <c r="I6" i="10" s="1"/>
  <c r="L79" i="12"/>
  <c r="K79" i="12"/>
  <c r="G6" i="10" s="1"/>
  <c r="J79" i="12"/>
  <c r="I79" i="12"/>
  <c r="E6" i="10" s="1"/>
  <c r="H79" i="12"/>
  <c r="AJ78" i="12"/>
  <c r="AJ77" i="12"/>
  <c r="AJ76" i="12"/>
  <c r="AJ75" i="12"/>
  <c r="AJ74" i="12"/>
  <c r="AJ73" i="12"/>
  <c r="AJ72" i="12"/>
  <c r="AJ71" i="12"/>
  <c r="AJ70" i="12"/>
  <c r="AJ69" i="12"/>
  <c r="AJ68" i="12"/>
  <c r="AJ67" i="12"/>
  <c r="AJ66" i="12"/>
  <c r="AJ65" i="12"/>
  <c r="AJ64" i="12"/>
  <c r="AJ63" i="12"/>
  <c r="AJ62" i="12"/>
  <c r="AJ61" i="12"/>
  <c r="AJ60" i="12"/>
  <c r="AJ59" i="12"/>
  <c r="AJ58" i="12"/>
  <c r="AJ57" i="12"/>
  <c r="AJ56" i="12"/>
  <c r="AJ55" i="12"/>
  <c r="AJ54" i="12"/>
  <c r="AJ53" i="12"/>
  <c r="AJ52" i="12"/>
  <c r="AJ51" i="12"/>
  <c r="AJ50" i="12"/>
  <c r="AJ49" i="12"/>
  <c r="AJ48" i="12"/>
  <c r="AJ47" i="12"/>
  <c r="AJ46" i="12"/>
  <c r="AJ45" i="12"/>
  <c r="AJ44" i="12"/>
  <c r="AJ43" i="12"/>
  <c r="AJ42" i="12"/>
  <c r="AJ41" i="12"/>
  <c r="AJ40" i="12"/>
  <c r="AJ39" i="12"/>
  <c r="AJ38" i="12"/>
  <c r="AJ37" i="12"/>
  <c r="AJ36" i="12"/>
  <c r="AJ35" i="12"/>
  <c r="AJ34" i="12"/>
  <c r="AJ33" i="12"/>
  <c r="AJ32" i="12"/>
  <c r="AJ31" i="12"/>
  <c r="AJ30" i="12"/>
  <c r="AJ29" i="12"/>
  <c r="AJ28" i="12"/>
  <c r="AJ27" i="12"/>
  <c r="AJ26" i="12"/>
  <c r="AJ25" i="12"/>
  <c r="AJ24" i="12"/>
  <c r="AJ23" i="12"/>
  <c r="AJ22" i="12"/>
  <c r="AJ21" i="12"/>
  <c r="AJ20" i="12"/>
  <c r="AJ19" i="12"/>
  <c r="AJ18" i="12"/>
  <c r="AJ17" i="12"/>
  <c r="AJ16" i="12"/>
  <c r="AJ15" i="12"/>
  <c r="AJ14" i="12"/>
  <c r="AJ13" i="12"/>
  <c r="AJ12" i="12"/>
  <c r="AJ11" i="12"/>
  <c r="AJ10" i="12"/>
  <c r="AJ9" i="12"/>
  <c r="AJ8" i="12"/>
  <c r="AJ7" i="12"/>
  <c r="AJ6" i="12"/>
  <c r="AJ5" i="12"/>
  <c r="Z234" i="11"/>
  <c r="AK25" i="10" s="1"/>
  <c r="Y234" i="11"/>
  <c r="W25" i="10" s="1"/>
  <c r="X234" i="11"/>
  <c r="W234" i="11"/>
  <c r="V234" i="11"/>
  <c r="U234" i="11"/>
  <c r="P25" i="10" s="1"/>
  <c r="T234" i="11"/>
  <c r="O25" i="10" s="1"/>
  <c r="S234" i="11"/>
  <c r="N25" i="10" s="1"/>
  <c r="R234" i="11"/>
  <c r="M25" i="10" s="1"/>
  <c r="Q234" i="11"/>
  <c r="L25" i="10" s="1"/>
  <c r="P234" i="11"/>
  <c r="P235" i="11" s="1"/>
  <c r="O234" i="11"/>
  <c r="J25" i="10" s="1"/>
  <c r="N234" i="11"/>
  <c r="I25" i="10" s="1"/>
  <c r="M234" i="11"/>
  <c r="M235" i="11" s="1"/>
  <c r="L234" i="11"/>
  <c r="H25" i="10" s="1"/>
  <c r="K234" i="11"/>
  <c r="G25" i="10" s="1"/>
  <c r="J234" i="11"/>
  <c r="F25" i="10" s="1"/>
  <c r="I234" i="11"/>
  <c r="E25" i="10" s="1"/>
  <c r="H234" i="11"/>
  <c r="D25" i="10" s="1"/>
  <c r="AA233" i="11"/>
  <c r="AA232" i="11"/>
  <c r="AA231" i="11"/>
  <c r="AA230" i="11"/>
  <c r="AA229" i="11"/>
  <c r="AA228" i="11"/>
  <c r="AA227" i="11"/>
  <c r="AA226" i="11"/>
  <c r="AA225" i="11"/>
  <c r="AA224" i="11"/>
  <c r="AA223" i="11"/>
  <c r="AB223" i="11" s="1"/>
  <c r="AA222" i="11"/>
  <c r="AA221" i="11"/>
  <c r="AA220" i="11"/>
  <c r="AA219" i="11"/>
  <c r="AA218" i="11"/>
  <c r="AA217" i="11"/>
  <c r="AA216" i="11"/>
  <c r="AA215" i="11"/>
  <c r="AA214" i="11"/>
  <c r="AA213" i="11"/>
  <c r="AA212" i="11"/>
  <c r="AA211" i="11"/>
  <c r="AA210" i="11"/>
  <c r="AA209" i="11"/>
  <c r="AA208" i="11"/>
  <c r="AA207" i="11"/>
  <c r="AB206" i="11" s="1"/>
  <c r="AA206" i="11"/>
  <c r="AA205" i="11"/>
  <c r="AA204" i="11"/>
  <c r="AA203" i="11"/>
  <c r="Z201" i="11"/>
  <c r="AK20" i="10" s="1"/>
  <c r="Y201" i="11"/>
  <c r="W20" i="10" s="1"/>
  <c r="X201" i="11"/>
  <c r="V20" i="10" s="1"/>
  <c r="W201" i="11"/>
  <c r="U20" i="10" s="1"/>
  <c r="V201" i="11"/>
  <c r="Q20" i="10" s="1"/>
  <c r="U201" i="11"/>
  <c r="P20" i="10" s="1"/>
  <c r="T201" i="11"/>
  <c r="O20" i="10" s="1"/>
  <c r="S201" i="11"/>
  <c r="N20" i="10" s="1"/>
  <c r="R201" i="11"/>
  <c r="M20" i="10" s="1"/>
  <c r="Q201" i="11"/>
  <c r="L20" i="10" s="1"/>
  <c r="P201" i="11"/>
  <c r="K20" i="10" s="1"/>
  <c r="O201" i="11"/>
  <c r="J20" i="10" s="1"/>
  <c r="N201" i="11"/>
  <c r="I20" i="10" s="1"/>
  <c r="M201" i="11"/>
  <c r="M202" i="11" s="1"/>
  <c r="L201" i="11"/>
  <c r="AI20" i="10" s="1"/>
  <c r="K201" i="11"/>
  <c r="G20" i="10" s="1"/>
  <c r="J201" i="11"/>
  <c r="F20" i="10" s="1"/>
  <c r="I201" i="11"/>
  <c r="E20" i="10" s="1"/>
  <c r="H201" i="11"/>
  <c r="D20" i="10" s="1"/>
  <c r="AA200" i="11"/>
  <c r="AA199" i="11"/>
  <c r="AA198" i="11"/>
  <c r="AA197" i="11"/>
  <c r="AA196" i="11"/>
  <c r="AA195" i="11"/>
  <c r="AA194" i="11"/>
  <c r="AA193" i="11"/>
  <c r="AA192" i="11"/>
  <c r="AA191" i="11"/>
  <c r="AA190" i="11"/>
  <c r="AA189" i="11"/>
  <c r="AA188" i="11"/>
  <c r="AA187" i="11"/>
  <c r="AA186" i="11"/>
  <c r="AA185" i="11"/>
  <c r="AA184" i="11"/>
  <c r="AA183" i="11"/>
  <c r="AA182" i="11"/>
  <c r="AA181" i="11"/>
  <c r="AA180" i="11"/>
  <c r="AA179" i="11"/>
  <c r="AA178" i="11"/>
  <c r="AA177" i="11"/>
  <c r="AA176" i="11"/>
  <c r="AA175" i="11"/>
  <c r="AA174" i="11"/>
  <c r="AA173" i="11"/>
  <c r="AA172" i="11"/>
  <c r="AA171" i="11"/>
  <c r="AA170" i="11"/>
  <c r="AB170" i="11" s="1"/>
  <c r="AA169" i="11"/>
  <c r="AA168" i="11"/>
  <c r="AA167" i="11"/>
  <c r="AA166" i="11"/>
  <c r="AB166" i="11" s="1"/>
  <c r="Z164" i="11"/>
  <c r="AK15" i="10" s="1"/>
  <c r="Y164" i="11"/>
  <c r="W15" i="10" s="1"/>
  <c r="X164" i="11"/>
  <c r="V15" i="10" s="1"/>
  <c r="W164" i="11"/>
  <c r="U15" i="10" s="1"/>
  <c r="V164" i="11"/>
  <c r="Q15" i="10" s="1"/>
  <c r="U164" i="11"/>
  <c r="T164" i="11"/>
  <c r="O15" i="10" s="1"/>
  <c r="S164" i="11"/>
  <c r="N15" i="10" s="1"/>
  <c r="R164" i="11"/>
  <c r="M15" i="10" s="1"/>
  <c r="Q164" i="11"/>
  <c r="L15" i="10" s="1"/>
  <c r="P164" i="11"/>
  <c r="K15" i="10" s="1"/>
  <c r="O164" i="11"/>
  <c r="J15" i="10" s="1"/>
  <c r="N164" i="11"/>
  <c r="I15" i="10" s="1"/>
  <c r="M164" i="11"/>
  <c r="M165" i="11" s="1"/>
  <c r="L164" i="11"/>
  <c r="H15" i="10" s="1"/>
  <c r="K164" i="11"/>
  <c r="G15" i="10" s="1"/>
  <c r="J164" i="11"/>
  <c r="F15" i="10" s="1"/>
  <c r="I164" i="11"/>
  <c r="E15" i="10" s="1"/>
  <c r="H164" i="11"/>
  <c r="D15" i="10" s="1"/>
  <c r="AA163" i="11"/>
  <c r="AA162" i="11"/>
  <c r="AA161" i="11"/>
  <c r="AA160" i="11"/>
  <c r="AA159" i="11"/>
  <c r="AA158" i="11"/>
  <c r="AA157" i="11"/>
  <c r="AA156" i="11"/>
  <c r="AA155" i="11"/>
  <c r="AA154" i="11"/>
  <c r="AA153" i="11"/>
  <c r="AA152" i="11"/>
  <c r="AA151" i="11"/>
  <c r="AA150" i="11"/>
  <c r="AA149" i="11"/>
  <c r="AA148" i="11"/>
  <c r="AA147" i="11"/>
  <c r="AA146" i="11"/>
  <c r="AA145" i="11"/>
  <c r="AA144" i="11"/>
  <c r="AA143" i="11"/>
  <c r="AA142" i="11"/>
  <c r="AA141" i="11"/>
  <c r="AA140" i="11"/>
  <c r="AA139" i="11"/>
  <c r="AA138" i="11"/>
  <c r="AA137" i="11"/>
  <c r="AA136" i="11"/>
  <c r="AA135" i="11"/>
  <c r="AA134" i="11"/>
  <c r="AA133" i="11"/>
  <c r="AA132" i="11"/>
  <c r="AA131" i="11"/>
  <c r="AA130" i="11"/>
  <c r="AA129" i="11"/>
  <c r="AA128" i="11"/>
  <c r="AA127" i="11"/>
  <c r="AA126" i="11"/>
  <c r="Z124" i="11"/>
  <c r="AK10" i="10" s="1"/>
  <c r="Y124" i="11"/>
  <c r="W10" i="10" s="1"/>
  <c r="X124" i="11"/>
  <c r="V10" i="10" s="1"/>
  <c r="W124" i="11"/>
  <c r="U10" i="10" s="1"/>
  <c r="V124" i="11"/>
  <c r="Q10" i="10" s="1"/>
  <c r="U124" i="11"/>
  <c r="T124" i="11"/>
  <c r="O10" i="10" s="1"/>
  <c r="S124" i="11"/>
  <c r="N10" i="10" s="1"/>
  <c r="R124" i="11"/>
  <c r="M10" i="10" s="1"/>
  <c r="Q124" i="11"/>
  <c r="L10" i="10" s="1"/>
  <c r="P124" i="11"/>
  <c r="K10" i="10" s="1"/>
  <c r="O124" i="11"/>
  <c r="J10" i="10" s="1"/>
  <c r="N124" i="11"/>
  <c r="I10" i="10" s="1"/>
  <c r="M124" i="11"/>
  <c r="AJ10" i="10" s="1"/>
  <c r="L124" i="11"/>
  <c r="AI10" i="10" s="1"/>
  <c r="K124" i="11"/>
  <c r="G10" i="10" s="1"/>
  <c r="J124" i="11"/>
  <c r="F10" i="10" s="1"/>
  <c r="I124" i="11"/>
  <c r="E10" i="10" s="1"/>
  <c r="H124" i="11"/>
  <c r="D10" i="10" s="1"/>
  <c r="AA123" i="11"/>
  <c r="AA122" i="11"/>
  <c r="AA121" i="11"/>
  <c r="AA120" i="11"/>
  <c r="AA119" i="11"/>
  <c r="AA118" i="11"/>
  <c r="AA117" i="11"/>
  <c r="AA116" i="11"/>
  <c r="AA115" i="11"/>
  <c r="AA114" i="11"/>
  <c r="AA113" i="11"/>
  <c r="AA112" i="11"/>
  <c r="AA111" i="11"/>
  <c r="AA110" i="11"/>
  <c r="AA109" i="11"/>
  <c r="AA108" i="11"/>
  <c r="AA107" i="11"/>
  <c r="AA106" i="11"/>
  <c r="AA105" i="11"/>
  <c r="AA104" i="11"/>
  <c r="AA103" i="11"/>
  <c r="AA102" i="11"/>
  <c r="AA101" i="11"/>
  <c r="AA100" i="11"/>
  <c r="AA99" i="11"/>
  <c r="AA98" i="11"/>
  <c r="AA97" i="11"/>
  <c r="AA96" i="11"/>
  <c r="AA95" i="11"/>
  <c r="AA94" i="11"/>
  <c r="AA93" i="11"/>
  <c r="AA92" i="11"/>
  <c r="AA91" i="11"/>
  <c r="AB91" i="11" s="1"/>
  <c r="AA90" i="11"/>
  <c r="AA89" i="11"/>
  <c r="AA88" i="11"/>
  <c r="AA87" i="11"/>
  <c r="AA86" i="11"/>
  <c r="AA85" i="11"/>
  <c r="AA84" i="11"/>
  <c r="AA83" i="11"/>
  <c r="AA82" i="11"/>
  <c r="AA81" i="11"/>
  <c r="AA80" i="11"/>
  <c r="AA79" i="11"/>
  <c r="AB79" i="11" s="1"/>
  <c r="AA78" i="11"/>
  <c r="AA77" i="11"/>
  <c r="AA76" i="11"/>
  <c r="AA75" i="11"/>
  <c r="AA74" i="11"/>
  <c r="AA73" i="11"/>
  <c r="AA72" i="11"/>
  <c r="AA71" i="11"/>
  <c r="AA70" i="11"/>
  <c r="AA69" i="11"/>
  <c r="AA68" i="11"/>
  <c r="AA67" i="11"/>
  <c r="AA66" i="11"/>
  <c r="AA65" i="11"/>
  <c r="AA64" i="11"/>
  <c r="AA63" i="11"/>
  <c r="AA62" i="11"/>
  <c r="AA61" i="11"/>
  <c r="AA60" i="11"/>
  <c r="AA59" i="11"/>
  <c r="AA58" i="11"/>
  <c r="AA57" i="11"/>
  <c r="AA56" i="11"/>
  <c r="AA55" i="11"/>
  <c r="AA54" i="11"/>
  <c r="Z52" i="11"/>
  <c r="Y52" i="11"/>
  <c r="X52" i="11"/>
  <c r="W52" i="11"/>
  <c r="V52" i="11"/>
  <c r="U52" i="11"/>
  <c r="T52" i="11"/>
  <c r="O5" i="10" s="1"/>
  <c r="S52" i="11"/>
  <c r="R52" i="11"/>
  <c r="M5" i="10" s="1"/>
  <c r="Q52" i="11"/>
  <c r="L5" i="10" s="1"/>
  <c r="P52" i="11"/>
  <c r="K5" i="10" s="1"/>
  <c r="O52" i="11"/>
  <c r="J5" i="10" s="1"/>
  <c r="N52" i="11"/>
  <c r="I5" i="10" s="1"/>
  <c r="M52" i="11"/>
  <c r="AJ5" i="10" s="1"/>
  <c r="L52" i="11"/>
  <c r="H5" i="10" s="1"/>
  <c r="K52" i="11"/>
  <c r="G5" i="10" s="1"/>
  <c r="J52" i="11"/>
  <c r="F5" i="10" s="1"/>
  <c r="I52" i="11"/>
  <c r="E5" i="10" s="1"/>
  <c r="H52" i="11"/>
  <c r="D5" i="10" s="1"/>
  <c r="AA51" i="11"/>
  <c r="AA50" i="11"/>
  <c r="AA49" i="11"/>
  <c r="AA48" i="11"/>
  <c r="AA47" i="11"/>
  <c r="AA46" i="11"/>
  <c r="AA45" i="11"/>
  <c r="AA44" i="11"/>
  <c r="AA43" i="11"/>
  <c r="AA42" i="11"/>
  <c r="AA41" i="11"/>
  <c r="AA40" i="11"/>
  <c r="AA39" i="11"/>
  <c r="AA38" i="11"/>
  <c r="AB38" i="11" s="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25" i="11"/>
  <c r="AA24" i="11"/>
  <c r="AA23" i="11"/>
  <c r="AB23" i="11" s="1"/>
  <c r="AA22" i="11"/>
  <c r="AA21" i="11"/>
  <c r="AA20" i="11"/>
  <c r="AA19" i="11"/>
  <c r="AA18" i="11"/>
  <c r="AA17" i="11"/>
  <c r="AA16" i="11"/>
  <c r="AB16" i="11" s="1"/>
  <c r="AA15" i="11"/>
  <c r="AA14" i="11"/>
  <c r="AA13" i="11"/>
  <c r="AA12" i="11"/>
  <c r="AA11" i="11"/>
  <c r="AA10" i="11"/>
  <c r="AA9" i="11"/>
  <c r="AA8" i="11"/>
  <c r="AB8" i="11" s="1"/>
  <c r="AA7" i="11"/>
  <c r="AA6" i="11"/>
  <c r="AA5" i="11"/>
  <c r="AP20" i="1"/>
  <c r="AO20" i="1"/>
  <c r="AN20" i="1"/>
  <c r="AM20" i="1"/>
  <c r="AL20" i="1"/>
  <c r="AK20" i="1"/>
  <c r="AH20" i="1"/>
  <c r="BM5" i="17" s="1"/>
  <c r="AG20" i="1"/>
  <c r="AF20" i="1"/>
  <c r="AE20" i="1"/>
  <c r="BG5" i="17" s="1"/>
  <c r="AD20" i="1"/>
  <c r="BE5" i="17" s="1"/>
  <c r="AC20" i="1"/>
  <c r="BC5" i="17" s="1"/>
  <c r="Z20" i="1"/>
  <c r="AV5" i="17" s="1"/>
  <c r="Y20" i="1"/>
  <c r="AT5" i="17" s="1"/>
  <c r="X20" i="1"/>
  <c r="AR5" i="17" s="1"/>
  <c r="W20" i="1"/>
  <c r="V20" i="1"/>
  <c r="U20" i="1"/>
  <c r="AL5" i="17" s="1"/>
  <c r="R20" i="1"/>
  <c r="Q20" i="1"/>
  <c r="AC5" i="17" s="1"/>
  <c r="P20" i="1"/>
  <c r="AA5" i="17" s="1"/>
  <c r="O20" i="1"/>
  <c r="Y5" i="17" s="1"/>
  <c r="N20" i="1"/>
  <c r="W5" i="17" s="1"/>
  <c r="M20" i="1"/>
  <c r="U5" i="17" s="1"/>
  <c r="J20" i="1"/>
  <c r="I20" i="1"/>
  <c r="N5" i="17" s="1"/>
  <c r="H20" i="1"/>
  <c r="L5" i="17" s="1"/>
  <c r="G20" i="1"/>
  <c r="J5" i="17" s="1"/>
  <c r="F20" i="1"/>
  <c r="H5" i="17" s="1"/>
  <c r="E20" i="1"/>
  <c r="F5" i="17" s="1"/>
  <c r="D20" i="1"/>
  <c r="D5" i="17" s="1"/>
  <c r="AQ19" i="1"/>
  <c r="AI19" i="1"/>
  <c r="AA19" i="1"/>
  <c r="S19" i="1"/>
  <c r="K19" i="1"/>
  <c r="AQ18" i="1"/>
  <c r="S18" i="1"/>
  <c r="K18" i="1"/>
  <c r="AQ17" i="1"/>
  <c r="AI17" i="1"/>
  <c r="AA17" i="1"/>
  <c r="S17" i="1"/>
  <c r="K17" i="1"/>
  <c r="AP16" i="1"/>
  <c r="CD7" i="17" s="1"/>
  <c r="AO16" i="1"/>
  <c r="CB7" i="17" s="1"/>
  <c r="AN16" i="1"/>
  <c r="BZ7" i="17" s="1"/>
  <c r="AM16" i="1"/>
  <c r="BX7" i="17" s="1"/>
  <c r="AL16" i="1"/>
  <c r="BV7" i="17" s="1"/>
  <c r="BT7" i="17"/>
  <c r="AH16" i="1"/>
  <c r="BM7" i="17" s="1"/>
  <c r="AG16" i="1"/>
  <c r="BK7" i="17" s="1"/>
  <c r="AF16" i="1"/>
  <c r="BI7" i="17" s="1"/>
  <c r="AD16" i="1"/>
  <c r="AC16" i="1"/>
  <c r="Z16" i="1"/>
  <c r="Y16" i="1"/>
  <c r="X16" i="1"/>
  <c r="W16" i="1"/>
  <c r="V16" i="1"/>
  <c r="R16" i="1"/>
  <c r="Q16" i="1"/>
  <c r="AC7" i="17" s="1"/>
  <c r="P16" i="1"/>
  <c r="AA7" i="17" s="1"/>
  <c r="O16" i="1"/>
  <c r="Y7" i="17" s="1"/>
  <c r="N16" i="1"/>
  <c r="W7" i="17" s="1"/>
  <c r="M16" i="1"/>
  <c r="U7" i="17" s="1"/>
  <c r="J16" i="1"/>
  <c r="I16" i="1"/>
  <c r="H16" i="1"/>
  <c r="L7" i="17" s="1"/>
  <c r="G16" i="1"/>
  <c r="J7" i="17" s="1"/>
  <c r="F16" i="1"/>
  <c r="H7" i="17" s="1"/>
  <c r="E16" i="1"/>
  <c r="F7" i="17" s="1"/>
  <c r="D16" i="1"/>
  <c r="D7" i="17" s="1"/>
  <c r="AQ15" i="1"/>
  <c r="AI15" i="1"/>
  <c r="S15" i="1"/>
  <c r="K15" i="1"/>
  <c r="AI14" i="1"/>
  <c r="S14" i="1"/>
  <c r="K14" i="1"/>
  <c r="AQ13" i="1"/>
  <c r="AI13" i="1"/>
  <c r="AA13" i="1"/>
  <c r="S13" i="1"/>
  <c r="K13" i="1"/>
  <c r="AP12" i="1"/>
  <c r="AO12" i="1"/>
  <c r="AN12" i="1"/>
  <c r="AM12" i="1"/>
  <c r="AL12" i="1"/>
  <c r="AK12" i="1"/>
  <c r="AH12" i="1"/>
  <c r="AG12" i="1"/>
  <c r="AF12" i="1"/>
  <c r="AE12" i="1"/>
  <c r="AD12" i="1"/>
  <c r="AC12" i="1"/>
  <c r="Z12" i="1"/>
  <c r="Y12" i="1"/>
  <c r="X12" i="1"/>
  <c r="W12" i="1"/>
  <c r="V12" i="1"/>
  <c r="U12" i="1"/>
  <c r="R12" i="1"/>
  <c r="Q12" i="1"/>
  <c r="P12" i="1"/>
  <c r="O12" i="1"/>
  <c r="N12" i="1"/>
  <c r="M12" i="1"/>
  <c r="J12" i="1"/>
  <c r="I12" i="1"/>
  <c r="H12" i="1"/>
  <c r="G12" i="1"/>
  <c r="F12" i="1"/>
  <c r="E12" i="1"/>
  <c r="D12" i="1"/>
  <c r="AQ11" i="1"/>
  <c r="AI11" i="1"/>
  <c r="AA11" i="1"/>
  <c r="S11" i="1"/>
  <c r="K11" i="1"/>
  <c r="AQ10" i="1"/>
  <c r="AI10" i="1"/>
  <c r="AA10" i="1"/>
  <c r="S10" i="1"/>
  <c r="K10" i="1"/>
  <c r="AQ9" i="1"/>
  <c r="AI9" i="1"/>
  <c r="AA9" i="1"/>
  <c r="S9" i="1"/>
  <c r="K9" i="1"/>
  <c r="AP8" i="1"/>
  <c r="CD6" i="17" s="1"/>
  <c r="CD8" i="17" s="1"/>
  <c r="CE5" i="17" s="1"/>
  <c r="AO8" i="1"/>
  <c r="CB6" i="17" s="1"/>
  <c r="CB8" i="17" s="1"/>
  <c r="CC5" i="17" s="1"/>
  <c r="AN8" i="1"/>
  <c r="BZ6" i="17" s="1"/>
  <c r="AM8" i="1"/>
  <c r="BX6" i="17" s="1"/>
  <c r="AL8" i="1"/>
  <c r="BV6" i="17" s="1"/>
  <c r="BV8" i="17" s="1"/>
  <c r="BW7" i="17" s="1"/>
  <c r="AK8" i="1"/>
  <c r="BT6" i="17" s="1"/>
  <c r="AH8" i="1"/>
  <c r="BM6" i="17" s="1"/>
  <c r="AG8" i="1"/>
  <c r="AF8" i="1"/>
  <c r="BI6" i="17" s="1"/>
  <c r="AE8" i="1"/>
  <c r="BG6" i="17" s="1"/>
  <c r="AD8" i="1"/>
  <c r="BE6" i="17" s="1"/>
  <c r="AC8" i="1"/>
  <c r="BC6" i="17" s="1"/>
  <c r="Z8" i="1"/>
  <c r="Y8" i="1"/>
  <c r="X8" i="1"/>
  <c r="AR6" i="17" s="1"/>
  <c r="W8" i="1"/>
  <c r="V8" i="1"/>
  <c r="U8" i="1"/>
  <c r="AL6" i="17" s="1"/>
  <c r="R8" i="1"/>
  <c r="AE6" i="17" s="1"/>
  <c r="Q8" i="1"/>
  <c r="P8" i="1"/>
  <c r="AA6" i="17" s="1"/>
  <c r="O8" i="1"/>
  <c r="Y6" i="17" s="1"/>
  <c r="N8" i="1"/>
  <c r="W6" i="17" s="1"/>
  <c r="M8" i="1"/>
  <c r="J8" i="1"/>
  <c r="I8" i="1"/>
  <c r="N6" i="17" s="1"/>
  <c r="H8" i="1"/>
  <c r="L6" i="17" s="1"/>
  <c r="G8" i="1"/>
  <c r="F8" i="1"/>
  <c r="H6" i="17" s="1"/>
  <c r="E8" i="1"/>
  <c r="F6" i="17" s="1"/>
  <c r="D8" i="1"/>
  <c r="AQ7" i="1"/>
  <c r="AI7" i="1"/>
  <c r="AA7" i="1"/>
  <c r="S7" i="1"/>
  <c r="K7" i="1"/>
  <c r="AQ6" i="1"/>
  <c r="AI6" i="1"/>
  <c r="AA6" i="1"/>
  <c r="S6" i="1"/>
  <c r="K6" i="1"/>
  <c r="AQ5" i="1"/>
  <c r="AI5" i="1"/>
  <c r="AA5" i="1"/>
  <c r="S5" i="1"/>
  <c r="K5" i="1"/>
  <c r="AM4" i="1"/>
  <c r="AN4" i="1" s="1"/>
  <c r="AE4" i="1"/>
  <c r="AF4" i="1" s="1"/>
  <c r="AG4" i="1" s="1"/>
  <c r="AH4" i="1" s="1"/>
  <c r="V4" i="1"/>
  <c r="W4" i="1" s="1"/>
  <c r="X4" i="1" s="1"/>
  <c r="Y4" i="1" s="1"/>
  <c r="Z4" i="1" s="1"/>
  <c r="N4" i="1"/>
  <c r="O4" i="1" s="1"/>
  <c r="P4" i="1" s="1"/>
  <c r="Q4" i="1" s="1"/>
  <c r="R4" i="1" s="1"/>
  <c r="F3" i="17"/>
  <c r="BG7" i="17"/>
  <c r="BE7" i="17"/>
  <c r="BC7" i="17"/>
  <c r="AV7" i="17"/>
  <c r="AT7" i="17"/>
  <c r="AR7" i="17"/>
  <c r="AP7" i="17"/>
  <c r="AN7" i="17"/>
  <c r="AE7" i="17"/>
  <c r="N7" i="17"/>
  <c r="AV6" i="17"/>
  <c r="AT6" i="17"/>
  <c r="AN6" i="17"/>
  <c r="AC6" i="17"/>
  <c r="J6" i="17"/>
  <c r="D6" i="17"/>
  <c r="BK5" i="17"/>
  <c r="BI5" i="17"/>
  <c r="AP5" i="17"/>
  <c r="AN5" i="17"/>
  <c r="AE5" i="17"/>
  <c r="BV3" i="17"/>
  <c r="BX3" i="17" s="1"/>
  <c r="BZ3" i="17" s="1"/>
  <c r="CB3" i="17" s="1"/>
  <c r="CD3" i="17" s="1"/>
  <c r="BC3" i="17"/>
  <c r="BE3" i="17" s="1"/>
  <c r="BG3" i="17" s="1"/>
  <c r="BI3" i="17" s="1"/>
  <c r="BK3" i="17" s="1"/>
  <c r="BM3" i="17" s="1"/>
  <c r="AL3" i="17"/>
  <c r="AN3" i="17" s="1"/>
  <c r="AP3" i="17" s="1"/>
  <c r="AR3" i="17" s="1"/>
  <c r="AT3" i="17" s="1"/>
  <c r="AV3" i="17" s="1"/>
  <c r="U3" i="17"/>
  <c r="W3" i="17" s="1"/>
  <c r="Y3" i="17" s="1"/>
  <c r="AA3" i="17" s="1"/>
  <c r="AC3" i="17" s="1"/>
  <c r="AE3" i="17" s="1"/>
  <c r="N3" i="17"/>
  <c r="D3" i="17"/>
  <c r="K12" i="1" l="1"/>
  <c r="AA124" i="11"/>
  <c r="AA125" i="11" s="1"/>
  <c r="AP9" i="14"/>
  <c r="AP929" i="14"/>
  <c r="AB93" i="11"/>
  <c r="AP25" i="14"/>
  <c r="AI12" i="1"/>
  <c r="AQ12" i="1"/>
  <c r="AB203" i="11"/>
  <c r="AB234" i="11" s="1"/>
  <c r="AB235" i="11" s="1"/>
  <c r="AK28" i="12"/>
  <c r="AS11" i="1"/>
  <c r="AA52" i="11"/>
  <c r="AA53" i="11" s="1"/>
  <c r="V237" i="11"/>
  <c r="AB182" i="11"/>
  <c r="AB201" i="11" s="1"/>
  <c r="AB202" i="11" s="1"/>
  <c r="AK5" i="12"/>
  <c r="AP228" i="14"/>
  <c r="AP923" i="14"/>
  <c r="S8" i="1"/>
  <c r="AB70" i="11"/>
  <c r="U6" i="17"/>
  <c r="AG6" i="17" s="1"/>
  <c r="F30" i="17" s="1"/>
  <c r="CC6" i="17"/>
  <c r="AA164" i="11"/>
  <c r="AA165" i="11" s="1"/>
  <c r="AJ361" i="12"/>
  <c r="AD21" i="10" s="1"/>
  <c r="CE6" i="17"/>
  <c r="AS7" i="1"/>
  <c r="AB14" i="11"/>
  <c r="W53" i="11"/>
  <c r="AJ13" i="10"/>
  <c r="AJ14" i="10" s="1"/>
  <c r="AK22" i="12"/>
  <c r="AK31" i="12"/>
  <c r="AK100" i="12"/>
  <c r="AP21" i="14"/>
  <c r="AP244" i="14"/>
  <c r="AK22" i="8"/>
  <c r="R44" i="8"/>
  <c r="AK102" i="12"/>
  <c r="AP31" i="14"/>
  <c r="AP233" i="14"/>
  <c r="AO223" i="14"/>
  <c r="AO224" i="14" s="1"/>
  <c r="L7" i="10"/>
  <c r="Q224" i="14"/>
  <c r="X7" i="10"/>
  <c r="AC224" i="14"/>
  <c r="E7" i="10"/>
  <c r="J224" i="14"/>
  <c r="K7" i="10"/>
  <c r="K8" i="10" s="1"/>
  <c r="K9" i="10" s="1"/>
  <c r="P224" i="14"/>
  <c r="U7" i="10"/>
  <c r="Z224" i="14"/>
  <c r="AP6" i="14"/>
  <c r="AP936" i="14"/>
  <c r="AS6" i="1"/>
  <c r="BE8" i="17"/>
  <c r="BF7" i="17" s="1"/>
  <c r="AP652" i="14"/>
  <c r="AP658" i="14"/>
  <c r="AP670" i="14"/>
  <c r="BC8" i="17"/>
  <c r="AP429" i="14"/>
  <c r="AP262" i="14"/>
  <c r="AP290" i="14"/>
  <c r="AP491" i="14"/>
  <c r="AP707" i="14"/>
  <c r="AP721" i="14"/>
  <c r="AP775" i="14"/>
  <c r="AP917" i="14"/>
  <c r="AP939" i="14"/>
  <c r="AP696" i="14"/>
  <c r="AO644" i="14"/>
  <c r="AO645" i="14" s="1"/>
  <c r="AP452" i="14"/>
  <c r="AP476" i="14"/>
  <c r="AP484" i="14"/>
  <c r="AP311" i="14"/>
  <c r="AP39" i="14"/>
  <c r="AA16" i="1"/>
  <c r="AL7" i="17"/>
  <c r="AS19" i="1"/>
  <c r="AP543" i="14"/>
  <c r="AS14" i="1"/>
  <c r="AP816" i="14"/>
  <c r="AP793" i="14"/>
  <c r="AP514" i="14"/>
  <c r="AE8" i="17"/>
  <c r="AA8" i="1"/>
  <c r="CE7" i="17"/>
  <c r="AB126" i="11"/>
  <c r="AB164" i="11" s="1"/>
  <c r="AB165" i="11" s="1"/>
  <c r="Z202" i="11"/>
  <c r="O80" i="12"/>
  <c r="AI80" i="12"/>
  <c r="P188" i="12"/>
  <c r="AH188" i="12"/>
  <c r="L349" i="12"/>
  <c r="AF349" i="12"/>
  <c r="Z362" i="12"/>
  <c r="Z406" i="12" s="1"/>
  <c r="R406" i="12"/>
  <c r="N26" i="10" s="1"/>
  <c r="N28" i="10" s="1"/>
  <c r="O8" i="10"/>
  <c r="AA8" i="10"/>
  <c r="H13" i="10"/>
  <c r="H14" i="10" s="1"/>
  <c r="T13" i="10"/>
  <c r="AB13" i="10"/>
  <c r="AB21" i="10"/>
  <c r="AB23" i="10" s="1"/>
  <c r="AS5" i="1"/>
  <c r="AS9" i="1"/>
  <c r="AS10" i="1"/>
  <c r="S12" i="1"/>
  <c r="AA12" i="1"/>
  <c r="BX8" i="17"/>
  <c r="BY6" i="17" s="1"/>
  <c r="AS17" i="1"/>
  <c r="Z165" i="11"/>
  <c r="Z235" i="11"/>
  <c r="AK17" i="12"/>
  <c r="AA80" i="12"/>
  <c r="Z188" i="12"/>
  <c r="AK343" i="12"/>
  <c r="N349" i="12"/>
  <c r="AH349" i="12"/>
  <c r="AK351" i="12"/>
  <c r="AK361" i="12" s="1"/>
  <c r="AK362" i="12" s="1"/>
  <c r="AB362" i="12"/>
  <c r="AB406" i="12" s="1"/>
  <c r="Z26" i="10" s="1"/>
  <c r="Z28" i="10" s="1"/>
  <c r="Z29" i="10" s="1"/>
  <c r="T406" i="12"/>
  <c r="T409" i="12" s="1"/>
  <c r="AD406" i="12"/>
  <c r="AB26" i="10" s="1"/>
  <c r="AK26" i="8"/>
  <c r="BZ8" i="17"/>
  <c r="CA5" i="17" s="1"/>
  <c r="AB10" i="11"/>
  <c r="AB17" i="11"/>
  <c r="H53" i="11"/>
  <c r="AA234" i="11"/>
  <c r="AA235" i="11" s="1"/>
  <c r="AK10" i="12"/>
  <c r="AK79" i="12" s="1"/>
  <c r="AK80" i="12" s="1"/>
  <c r="K80" i="12"/>
  <c r="AC80" i="12"/>
  <c r="L188" i="12"/>
  <c r="AB188" i="12"/>
  <c r="Z349" i="12"/>
  <c r="L362" i="12"/>
  <c r="L406" i="12" s="1"/>
  <c r="L409" i="12" s="1"/>
  <c r="Y8" i="10"/>
  <c r="Y9" i="10" s="1"/>
  <c r="AC8" i="10"/>
  <c r="N13" i="10"/>
  <c r="AB5" i="11"/>
  <c r="H125" i="11"/>
  <c r="M80" i="12"/>
  <c r="AG80" i="12"/>
  <c r="N188" i="12"/>
  <c r="AF188" i="12"/>
  <c r="N362" i="12"/>
  <c r="N406" i="12" s="1"/>
  <c r="AH362" i="12"/>
  <c r="AH406" i="12" s="1"/>
  <c r="AK372" i="12"/>
  <c r="J406" i="12"/>
  <c r="F26" i="10" s="1"/>
  <c r="X406" i="12"/>
  <c r="V26" i="10" s="1"/>
  <c r="V28" i="10" s="1"/>
  <c r="AF6" i="17"/>
  <c r="AF7" i="17"/>
  <c r="P6" i="17"/>
  <c r="D30" i="17" s="1"/>
  <c r="AD26" i="10"/>
  <c r="AF407" i="12"/>
  <c r="AB52" i="11"/>
  <c r="AB53" i="11" s="1"/>
  <c r="J26" i="10"/>
  <c r="N407" i="12"/>
  <c r="X5" i="10"/>
  <c r="AK5" i="10"/>
  <c r="K202" i="11"/>
  <c r="K235" i="11"/>
  <c r="M237" i="11"/>
  <c r="H6" i="10"/>
  <c r="L80" i="12"/>
  <c r="V6" i="10"/>
  <c r="AJ79" i="12"/>
  <c r="AJ80" i="12" s="1"/>
  <c r="G21" i="10"/>
  <c r="G23" i="10" s="1"/>
  <c r="G24" i="10" s="1"/>
  <c r="K362" i="12"/>
  <c r="K406" i="12" s="1"/>
  <c r="O362" i="12"/>
  <c r="O406" i="12" s="1"/>
  <c r="O409" i="12" s="1"/>
  <c r="O21" i="10"/>
  <c r="S406" i="12"/>
  <c r="O26" i="10" s="1"/>
  <c r="S21" i="10"/>
  <c r="W362" i="12"/>
  <c r="W406" i="12" s="1"/>
  <c r="W409" i="12" s="1"/>
  <c r="W21" i="10"/>
  <c r="AA362" i="12"/>
  <c r="AA406" i="12" s="1"/>
  <c r="AA21" i="10"/>
  <c r="AE406" i="12"/>
  <c r="AC26" i="10" s="1"/>
  <c r="AK21" i="10"/>
  <c r="AC21" i="10"/>
  <c r="AI362" i="12"/>
  <c r="AI406" i="12"/>
  <c r="AI409" i="12" s="1"/>
  <c r="Q5" i="10"/>
  <c r="AL15" i="10"/>
  <c r="H36" i="10" s="1"/>
  <c r="O202" i="11"/>
  <c r="R25" i="10"/>
  <c r="U25" i="10"/>
  <c r="O235" i="11"/>
  <c r="I237" i="11"/>
  <c r="Q237" i="11"/>
  <c r="D6" i="10"/>
  <c r="Q6" i="10"/>
  <c r="P6" i="10"/>
  <c r="AF409" i="12"/>
  <c r="AF80" i="12"/>
  <c r="AD6" i="10"/>
  <c r="AD8" i="10" s="1"/>
  <c r="AD9" i="10" s="1"/>
  <c r="BM8" i="17"/>
  <c r="BN6" i="17" s="1"/>
  <c r="K8" i="1"/>
  <c r="N5" i="10"/>
  <c r="N8" i="10" s="1"/>
  <c r="S237" i="11"/>
  <c r="I125" i="11"/>
  <c r="W125" i="11"/>
  <c r="H165" i="11"/>
  <c r="Q165" i="11"/>
  <c r="L202" i="11"/>
  <c r="V25" i="10"/>
  <c r="S25" i="10"/>
  <c r="L235" i="11"/>
  <c r="R237" i="11"/>
  <c r="W80" i="12"/>
  <c r="I11" i="10"/>
  <c r="M188" i="12"/>
  <c r="AA11" i="10"/>
  <c r="AC188" i="12"/>
  <c r="I188" i="12"/>
  <c r="K16" i="10"/>
  <c r="O349" i="12"/>
  <c r="S16" i="10"/>
  <c r="W349" i="12"/>
  <c r="P362" i="12"/>
  <c r="P406" i="12" s="1"/>
  <c r="P409" i="12" s="1"/>
  <c r="E8" i="10"/>
  <c r="M8" i="10"/>
  <c r="F13" i="10"/>
  <c r="J13" i="10"/>
  <c r="J14" i="10" s="1"/>
  <c r="V13" i="10"/>
  <c r="K18" i="10"/>
  <c r="K19" i="10" s="1"/>
  <c r="O18" i="10"/>
  <c r="S18" i="10"/>
  <c r="AK16" i="10"/>
  <c r="AK18" i="10" s="1"/>
  <c r="AK19" i="10" s="1"/>
  <c r="K25" i="10"/>
  <c r="I53" i="11"/>
  <c r="Q125" i="11"/>
  <c r="L165" i="11"/>
  <c r="AA201" i="11"/>
  <c r="AA202" i="11" s="1"/>
  <c r="X237" i="11"/>
  <c r="L6" i="10"/>
  <c r="P80" i="12"/>
  <c r="AB409" i="12"/>
  <c r="AB80" i="12"/>
  <c r="AF5" i="17"/>
  <c r="AQ8" i="1"/>
  <c r="AS13" i="1"/>
  <c r="U5" i="10"/>
  <c r="W237" i="11"/>
  <c r="K53" i="11"/>
  <c r="O53" i="11"/>
  <c r="Z53" i="11"/>
  <c r="AB54" i="11"/>
  <c r="N125" i="11"/>
  <c r="AL20" i="10"/>
  <c r="J36" i="10" s="1"/>
  <c r="P202" i="11"/>
  <c r="J237" i="11"/>
  <c r="N237" i="11"/>
  <c r="Z237" i="11"/>
  <c r="AK56" i="12"/>
  <c r="H80" i="12"/>
  <c r="S11" i="10"/>
  <c r="R11" i="10"/>
  <c r="AI11" i="10"/>
  <c r="AG188" i="12"/>
  <c r="G16" i="10"/>
  <c r="G18" i="10" s="1"/>
  <c r="G19" i="10" s="1"/>
  <c r="K349" i="12"/>
  <c r="W16" i="10"/>
  <c r="W18" i="10" s="1"/>
  <c r="AA349" i="12"/>
  <c r="S409" i="12"/>
  <c r="I8" i="10"/>
  <c r="I9" i="10" s="1"/>
  <c r="Q8" i="10"/>
  <c r="AP6" i="17"/>
  <c r="AX6" i="17" s="1"/>
  <c r="H30" i="17" s="1"/>
  <c r="AI8" i="1"/>
  <c r="S5" i="10"/>
  <c r="V5" i="10"/>
  <c r="L53" i="11"/>
  <c r="P53" i="11"/>
  <c r="K125" i="11"/>
  <c r="O125" i="11"/>
  <c r="Z125" i="11"/>
  <c r="I165" i="11"/>
  <c r="N165" i="11"/>
  <c r="W165" i="11"/>
  <c r="H202" i="11"/>
  <c r="Q202" i="11"/>
  <c r="H235" i="11"/>
  <c r="Q235" i="11"/>
  <c r="K237" i="11"/>
  <c r="O237" i="11"/>
  <c r="T237" i="11"/>
  <c r="F6" i="10"/>
  <c r="J409" i="12"/>
  <c r="N80" i="12"/>
  <c r="N409" i="12"/>
  <c r="N6" i="10"/>
  <c r="T6" i="10"/>
  <c r="V409" i="12"/>
  <c r="X6" i="10"/>
  <c r="Z80" i="12"/>
  <c r="AB6" i="10"/>
  <c r="AB8" i="10" s="1"/>
  <c r="AA9" i="10" s="1"/>
  <c r="AD409" i="12"/>
  <c r="AJ6" i="10"/>
  <c r="AH80" i="12"/>
  <c r="AK87" i="12"/>
  <c r="AJ348" i="12"/>
  <c r="AJ349" i="12" s="1"/>
  <c r="AK189" i="12"/>
  <c r="AK348" i="12" s="1"/>
  <c r="AK349" i="12" s="1"/>
  <c r="P349" i="12"/>
  <c r="E21" i="10"/>
  <c r="E23" i="10" s="1"/>
  <c r="I21" i="10"/>
  <c r="I23" i="10" s="1"/>
  <c r="I24" i="10" s="1"/>
  <c r="M362" i="12"/>
  <c r="M406" i="12" s="1"/>
  <c r="M21" i="10"/>
  <c r="Q406" i="12"/>
  <c r="Q21" i="10"/>
  <c r="U406" i="12"/>
  <c r="U409" i="12" s="1"/>
  <c r="U21" i="10"/>
  <c r="Y406" i="12"/>
  <c r="Y21" i="10"/>
  <c r="Y23" i="10" s="1"/>
  <c r="Y24" i="10" s="1"/>
  <c r="AC362" i="12"/>
  <c r="AC406" i="12" s="1"/>
  <c r="AC409" i="12" s="1"/>
  <c r="AI21" i="10"/>
  <c r="AI23" i="10" s="1"/>
  <c r="AG362" i="12"/>
  <c r="AG406" i="12" s="1"/>
  <c r="I362" i="12"/>
  <c r="I406" i="12" s="1"/>
  <c r="AJ362" i="12"/>
  <c r="AJ406" i="12" s="1"/>
  <c r="AJ407" i="12" s="1"/>
  <c r="Z6" i="10"/>
  <c r="Z8" i="10" s="1"/>
  <c r="Z9" i="10" s="1"/>
  <c r="N53" i="11"/>
  <c r="M125" i="11"/>
  <c r="P165" i="11"/>
  <c r="BK8" i="17"/>
  <c r="AJ8" i="10"/>
  <c r="AJ30" i="10" s="1"/>
  <c r="AJ31" i="10" s="1"/>
  <c r="P5" i="10"/>
  <c r="U237" i="11"/>
  <c r="T5" i="10"/>
  <c r="T8" i="10" s="1"/>
  <c r="W5" i="10"/>
  <c r="W8" i="10" s="1"/>
  <c r="Y237" i="11"/>
  <c r="M53" i="11"/>
  <c r="Q53" i="11"/>
  <c r="AL10" i="10"/>
  <c r="F36" i="10" s="1"/>
  <c r="AI13" i="10"/>
  <c r="AI14" i="10" s="1"/>
  <c r="L125" i="11"/>
  <c r="P125" i="11"/>
  <c r="K165" i="11"/>
  <c r="O165" i="11"/>
  <c r="I202" i="11"/>
  <c r="N202" i="11"/>
  <c r="W202" i="11"/>
  <c r="Q25" i="10"/>
  <c r="T25" i="10"/>
  <c r="I235" i="11"/>
  <c r="N235" i="11"/>
  <c r="W235" i="11"/>
  <c r="H237" i="11"/>
  <c r="L237" i="11"/>
  <c r="P237" i="11"/>
  <c r="AJ187" i="12"/>
  <c r="AJ188" i="12" s="1"/>
  <c r="AK96" i="12"/>
  <c r="G11" i="10"/>
  <c r="K188" i="12"/>
  <c r="K11" i="10"/>
  <c r="O188" i="12"/>
  <c r="U11" i="10"/>
  <c r="U13" i="10" s="1"/>
  <c r="W188" i="12"/>
  <c r="Y11" i="10"/>
  <c r="AA188" i="12"/>
  <c r="AE11" i="10"/>
  <c r="AE13" i="10" s="1"/>
  <c r="AK11" i="10"/>
  <c r="AI188" i="12"/>
  <c r="I16" i="10"/>
  <c r="I18" i="10" s="1"/>
  <c r="I19" i="10" s="1"/>
  <c r="M349" i="12"/>
  <c r="AA16" i="10"/>
  <c r="AA18" i="10" s="1"/>
  <c r="Y16" i="10"/>
  <c r="Y18" i="10" s="1"/>
  <c r="AC349" i="12"/>
  <c r="AI16" i="10"/>
  <c r="AI18" i="10" s="1"/>
  <c r="AI19" i="10" s="1"/>
  <c r="AG349" i="12"/>
  <c r="I349" i="12"/>
  <c r="G8" i="10"/>
  <c r="S8" i="10"/>
  <c r="AK8" i="10"/>
  <c r="AK9" i="10" s="1"/>
  <c r="D13" i="10"/>
  <c r="D14" i="10" s="1"/>
  <c r="E18" i="10"/>
  <c r="M18" i="10"/>
  <c r="Q18" i="10"/>
  <c r="U18" i="10"/>
  <c r="AC18" i="10"/>
  <c r="K21" i="10"/>
  <c r="Q11" i="10"/>
  <c r="Q13" i="10" s="1"/>
  <c r="P11" i="10"/>
  <c r="H349" i="12"/>
  <c r="L8" i="10"/>
  <c r="P8" i="10"/>
  <c r="X8" i="10"/>
  <c r="X9" i="10" s="1"/>
  <c r="E13" i="10"/>
  <c r="M13" i="10"/>
  <c r="Y13" i="10"/>
  <c r="Y14" i="10" s="1"/>
  <c r="AC13" i="10"/>
  <c r="F18" i="10"/>
  <c r="J18" i="10"/>
  <c r="J19" i="10" s="1"/>
  <c r="N18" i="10"/>
  <c r="V18" i="10"/>
  <c r="AD18" i="10"/>
  <c r="AD19" i="10" s="1"/>
  <c r="F23" i="10"/>
  <c r="J23" i="10"/>
  <c r="J24" i="10" s="1"/>
  <c r="N23" i="10"/>
  <c r="V23" i="10"/>
  <c r="Z23" i="10"/>
  <c r="Z24" i="10" s="1"/>
  <c r="AD23" i="10"/>
  <c r="AD24" i="10" s="1"/>
  <c r="AC28" i="10"/>
  <c r="R6" i="10"/>
  <c r="R8" i="10" s="1"/>
  <c r="I80" i="12"/>
  <c r="H188" i="12"/>
  <c r="X16" i="10"/>
  <c r="X18" i="10" s="1"/>
  <c r="X19" i="10" s="1"/>
  <c r="Z16" i="10"/>
  <c r="Z18" i="10" s="1"/>
  <c r="Z19" i="10" s="1"/>
  <c r="H362" i="12"/>
  <c r="H406" i="12" s="1"/>
  <c r="V8" i="10"/>
  <c r="O13" i="10"/>
  <c r="S13" i="10"/>
  <c r="W13" i="10"/>
  <c r="AA13" i="10"/>
  <c r="H18" i="10"/>
  <c r="H19" i="10" s="1"/>
  <c r="L18" i="10"/>
  <c r="T18" i="10"/>
  <c r="AB18" i="10"/>
  <c r="O23" i="10"/>
  <c r="S23" i="10"/>
  <c r="W23" i="10"/>
  <c r="AA23" i="10"/>
  <c r="AK23" i="10"/>
  <c r="AK24" i="10" s="1"/>
  <c r="F28" i="10"/>
  <c r="J28" i="10"/>
  <c r="J29" i="10" s="1"/>
  <c r="AD28" i="10"/>
  <c r="AD29" i="10" s="1"/>
  <c r="R8" i="8"/>
  <c r="AK9" i="8"/>
  <c r="BD13" i="8"/>
  <c r="BD26" i="8"/>
  <c r="BD31" i="8"/>
  <c r="H23" i="10"/>
  <c r="H24" i="10" s="1"/>
  <c r="L23" i="10"/>
  <c r="P23" i="10"/>
  <c r="T23" i="10"/>
  <c r="X23" i="10"/>
  <c r="X24" i="10" s="1"/>
  <c r="O28" i="10"/>
  <c r="AK8" i="8"/>
  <c r="AK20" i="8"/>
  <c r="AK24" i="8"/>
  <c r="R31" i="8"/>
  <c r="M23" i="10"/>
  <c r="Q23" i="10"/>
  <c r="U23" i="10"/>
  <c r="AC23" i="10"/>
  <c r="T28" i="10"/>
  <c r="AB28" i="10"/>
  <c r="R13" i="8"/>
  <c r="R47" i="8"/>
  <c r="AA8" i="17"/>
  <c r="AB6" i="17" s="1"/>
  <c r="AJ9" i="10"/>
  <c r="N8" i="17"/>
  <c r="O7" i="17" s="1"/>
  <c r="L8" i="17"/>
  <c r="M6" i="17" s="1"/>
  <c r="AP358" i="14"/>
  <c r="AP135" i="14"/>
  <c r="AP970" i="14"/>
  <c r="AP996" i="14"/>
  <c r="J8" i="17"/>
  <c r="K7" i="17" s="1"/>
  <c r="AP985" i="14"/>
  <c r="AI20" i="1"/>
  <c r="BI8" i="17"/>
  <c r="BJ6" i="17" s="1"/>
  <c r="AA20" i="1"/>
  <c r="AC8" i="17"/>
  <c r="AD6" i="17" s="1"/>
  <c r="W8" i="17"/>
  <c r="X5" i="17" s="1"/>
  <c r="S20" i="1"/>
  <c r="H8" i="17"/>
  <c r="I6" i="17" s="1"/>
  <c r="P5" i="17"/>
  <c r="D29" i="17" s="1"/>
  <c r="F8" i="17"/>
  <c r="G5" i="17" s="1"/>
  <c r="K20" i="1"/>
  <c r="CC7" i="17"/>
  <c r="BN7" i="17"/>
  <c r="Y8" i="17"/>
  <c r="X6" i="17"/>
  <c r="U8" i="17"/>
  <c r="S16" i="1"/>
  <c r="S22" i="1" s="1"/>
  <c r="P7" i="17"/>
  <c r="D31" i="17" s="1"/>
  <c r="K16" i="1"/>
  <c r="K22" i="1" s="1"/>
  <c r="D8" i="17"/>
  <c r="CA6" i="17"/>
  <c r="AQ20" i="1"/>
  <c r="BW6" i="17"/>
  <c r="BW5" i="17"/>
  <c r="AQ16" i="1"/>
  <c r="AI16" i="1"/>
  <c r="BO5" i="17"/>
  <c r="J29" i="17" s="1"/>
  <c r="BG8" i="17"/>
  <c r="BH5" i="17" s="1"/>
  <c r="BD5" i="17"/>
  <c r="AS15" i="1"/>
  <c r="BO7" i="17"/>
  <c r="AO915" i="14"/>
  <c r="AO916" i="14" s="1"/>
  <c r="AV8" i="17"/>
  <c r="AW7" i="17" s="1"/>
  <c r="AT8" i="17"/>
  <c r="AU5" i="17" s="1"/>
  <c r="AR8" i="17"/>
  <c r="AS7" i="17" s="1"/>
  <c r="AP8" i="17"/>
  <c r="AQ5" i="17" s="1"/>
  <c r="I1121" i="14"/>
  <c r="K1121" i="14"/>
  <c r="M1121" i="14"/>
  <c r="O1121" i="14"/>
  <c r="AX5" i="17"/>
  <c r="H29" i="17" s="1"/>
  <c r="AL8" i="17"/>
  <c r="AX7" i="17"/>
  <c r="AN8" i="17"/>
  <c r="Q428" i="14"/>
  <c r="E19" i="10"/>
  <c r="AP849" i="14"/>
  <c r="AP885" i="14"/>
  <c r="AO1118" i="14"/>
  <c r="AO1119" i="14" s="1"/>
  <c r="AP1025" i="14"/>
  <c r="AP182" i="14"/>
  <c r="AM224" i="14"/>
  <c r="AP605" i="14"/>
  <c r="AP1077" i="14"/>
  <c r="AF9" i="10"/>
  <c r="AH9" i="10"/>
  <c r="G9" i="10"/>
  <c r="AE9" i="10"/>
  <c r="AG30" i="10"/>
  <c r="AG31" i="10" s="1"/>
  <c r="AG9" i="10"/>
  <c r="M224" i="14"/>
  <c r="O224" i="14"/>
  <c r="AE224" i="14"/>
  <c r="AI224" i="14"/>
  <c r="AK224" i="14"/>
  <c r="J428" i="14"/>
  <c r="M428" i="14"/>
  <c r="O428" i="14"/>
  <c r="Z428" i="14"/>
  <c r="AD428" i="14"/>
  <c r="AF428" i="14"/>
  <c r="AJ428" i="14"/>
  <c r="AL428" i="14"/>
  <c r="AN428" i="14"/>
  <c r="D18" i="10"/>
  <c r="D19" i="10" s="1"/>
  <c r="AL17" i="10"/>
  <c r="I645" i="14"/>
  <c r="L645" i="14"/>
  <c r="N645" i="14"/>
  <c r="P645" i="14"/>
  <c r="Z645" i="14"/>
  <c r="AD645" i="14"/>
  <c r="AF645" i="14"/>
  <c r="AJ645" i="14"/>
  <c r="AL645" i="14"/>
  <c r="AN645" i="14"/>
  <c r="D23" i="10"/>
  <c r="D24" i="10" s="1"/>
  <c r="AL22" i="10"/>
  <c r="I916" i="14"/>
  <c r="L916" i="14"/>
  <c r="N916" i="14"/>
  <c r="P916" i="14"/>
  <c r="Z916" i="14"/>
  <c r="AD916" i="14"/>
  <c r="AF916" i="14"/>
  <c r="AJ916" i="14"/>
  <c r="AL916" i="14"/>
  <c r="AN916" i="14"/>
  <c r="I1119" i="14"/>
  <c r="L1119" i="14"/>
  <c r="N1119" i="14"/>
  <c r="P1119" i="14"/>
  <c r="Z1119" i="14"/>
  <c r="AD1119" i="14"/>
  <c r="AF1119" i="14"/>
  <c r="AJ1119" i="14"/>
  <c r="AL1119" i="14"/>
  <c r="J1121" i="14"/>
  <c r="L1121" i="14"/>
  <c r="N1121" i="14"/>
  <c r="Q1121" i="14"/>
  <c r="S1121" i="14"/>
  <c r="U1121" i="14"/>
  <c r="W1121" i="14"/>
  <c r="Y1121" i="14"/>
  <c r="AA1121" i="14"/>
  <c r="AC1121" i="14"/>
  <c r="AE1121" i="14"/>
  <c r="AG1121" i="14"/>
  <c r="AI1121" i="14"/>
  <c r="AK1121" i="14"/>
  <c r="AM1121" i="14"/>
  <c r="D7" i="10"/>
  <c r="F7" i="10"/>
  <c r="F8" i="10" s="1"/>
  <c r="H7" i="10"/>
  <c r="H8" i="10" s="1"/>
  <c r="J7" i="10"/>
  <c r="J8" i="10" s="1"/>
  <c r="G12" i="10"/>
  <c r="I12" i="10"/>
  <c r="I13" i="10" s="1"/>
  <c r="I14" i="10" s="1"/>
  <c r="L12" i="10"/>
  <c r="L13" i="10" s="1"/>
  <c r="X12" i="10"/>
  <c r="X13" i="10" s="1"/>
  <c r="X14" i="10" s="1"/>
  <c r="Z12" i="10"/>
  <c r="Z13" i="10" s="1"/>
  <c r="Z14" i="10" s="1"/>
  <c r="AD12" i="10"/>
  <c r="AD13" i="10" s="1"/>
  <c r="AD14" i="10" s="1"/>
  <c r="AF12" i="10"/>
  <c r="AF13" i="10" s="1"/>
  <c r="AF14" i="10" s="1"/>
  <c r="AH12" i="10"/>
  <c r="AH13" i="10" s="1"/>
  <c r="AH14" i="10" s="1"/>
  <c r="L224" i="14"/>
  <c r="N224" i="14"/>
  <c r="AD224" i="14"/>
  <c r="AF224" i="14"/>
  <c r="AJ224" i="14"/>
  <c r="AL224" i="14"/>
  <c r="AN224" i="14"/>
  <c r="P1121" i="14"/>
  <c r="I428" i="14"/>
  <c r="J645" i="14"/>
  <c r="M645" i="14"/>
  <c r="O645" i="14"/>
  <c r="Q645" i="14"/>
  <c r="AC645" i="14"/>
  <c r="AE645" i="14"/>
  <c r="AI645" i="14"/>
  <c r="AK645" i="14"/>
  <c r="AM645" i="14"/>
  <c r="J916" i="14"/>
  <c r="M916" i="14"/>
  <c r="O916" i="14"/>
  <c r="Q916" i="14"/>
  <c r="AC916" i="14"/>
  <c r="AE916" i="14"/>
  <c r="AI916" i="14"/>
  <c r="AK916" i="14"/>
  <c r="AM916" i="14"/>
  <c r="AK27" i="10"/>
  <c r="AI27" i="10"/>
  <c r="AI28" i="10" s="1"/>
  <c r="J1119" i="14"/>
  <c r="M1119" i="14"/>
  <c r="O1119" i="14"/>
  <c r="AC1119" i="14"/>
  <c r="AE1119" i="14"/>
  <c r="AI1119" i="14"/>
  <c r="AK1119" i="14"/>
  <c r="AM1119" i="14"/>
  <c r="R1121" i="14"/>
  <c r="T1121" i="14"/>
  <c r="V1121" i="14"/>
  <c r="X1121" i="14"/>
  <c r="Z1121" i="14"/>
  <c r="AB1121" i="14"/>
  <c r="AD1121" i="14"/>
  <c r="AF1121" i="14"/>
  <c r="AH1121" i="14"/>
  <c r="AJ1121" i="14"/>
  <c r="AL1121" i="14"/>
  <c r="AN1121" i="14"/>
  <c r="AO427" i="14"/>
  <c r="AO428" i="14" s="1"/>
  <c r="K12" i="10"/>
  <c r="P428" i="14"/>
  <c r="AD5" i="17"/>
  <c r="AG7" i="17"/>
  <c r="F31" i="17" s="1"/>
  <c r="AD7" i="17"/>
  <c r="AB7" i="17"/>
  <c r="AS18" i="1"/>
  <c r="AG5" i="17"/>
  <c r="Z407" i="12" l="1"/>
  <c r="X26" i="10"/>
  <c r="X28" i="10" s="1"/>
  <c r="X29" i="10" s="1"/>
  <c r="Z409" i="12"/>
  <c r="AL11" i="10"/>
  <c r="F37" i="10" s="1"/>
  <c r="R409" i="12"/>
  <c r="BN5" i="17"/>
  <c r="L407" i="12"/>
  <c r="AI22" i="1"/>
  <c r="G7" i="17"/>
  <c r="AL21" i="10"/>
  <c r="J37" i="10" s="1"/>
  <c r="U8" i="10"/>
  <c r="X409" i="12"/>
  <c r="H26" i="10"/>
  <c r="H28" i="10" s="1"/>
  <c r="H29" i="10" s="1"/>
  <c r="AQ22" i="1"/>
  <c r="BF5" i="17"/>
  <c r="Q26" i="10"/>
  <c r="Q28" i="10" s="1"/>
  <c r="AB407" i="12"/>
  <c r="G13" i="10"/>
  <c r="G14" i="10" s="1"/>
  <c r="BF6" i="17"/>
  <c r="U24" i="10"/>
  <c r="P26" i="10"/>
  <c r="P28" i="10" s="1"/>
  <c r="AS12" i="1"/>
  <c r="AA22" i="1"/>
  <c r="AA23" i="1" s="1"/>
  <c r="AE409" i="12"/>
  <c r="AB124" i="11"/>
  <c r="AB125" i="11" s="1"/>
  <c r="AS20" i="1"/>
  <c r="BJ5" i="17"/>
  <c r="M7" i="17"/>
  <c r="BJ7" i="17"/>
  <c r="G6" i="17"/>
  <c r="BY5" i="17"/>
  <c r="BY7" i="17"/>
  <c r="CA7" i="17"/>
  <c r="AP644" i="14"/>
  <c r="AP645" i="14" s="1"/>
  <c r="L19" i="10"/>
  <c r="V30" i="10"/>
  <c r="E24" i="10"/>
  <c r="X7" i="17"/>
  <c r="M5" i="17"/>
  <c r="I5" i="17"/>
  <c r="N30" i="10"/>
  <c r="AS16" i="1"/>
  <c r="T30" i="10"/>
  <c r="L24" i="10"/>
  <c r="F30" i="10"/>
  <c r="BD7" i="17"/>
  <c r="AA19" i="10"/>
  <c r="O30" i="10"/>
  <c r="AC30" i="10"/>
  <c r="AB30" i="10"/>
  <c r="L9" i="10"/>
  <c r="Q30" i="10"/>
  <c r="E14" i="10"/>
  <c r="L14" i="10"/>
  <c r="AH407" i="12"/>
  <c r="AH409" i="12"/>
  <c r="AL25" i="10"/>
  <c r="AL5" i="10"/>
  <c r="D36" i="10" s="1"/>
  <c r="BD6" i="17"/>
  <c r="AK13" i="10"/>
  <c r="AK14" i="10" s="1"/>
  <c r="U14" i="10"/>
  <c r="AA24" i="10"/>
  <c r="K23" i="10"/>
  <c r="K24" i="10" s="1"/>
  <c r="AK187" i="12"/>
  <c r="AK188" i="12" s="1"/>
  <c r="S23" i="1"/>
  <c r="T20" i="1" s="1"/>
  <c r="AB5" i="17"/>
  <c r="AE14" i="10"/>
  <c r="AE30" i="10"/>
  <c r="AE31" i="10" s="1"/>
  <c r="I407" i="12"/>
  <c r="E26" i="10"/>
  <c r="E28" i="10" s="1"/>
  <c r="I409" i="12"/>
  <c r="I26" i="10"/>
  <c r="I28" i="10" s="1"/>
  <c r="I29" i="10" s="1"/>
  <c r="M407" i="12"/>
  <c r="M409" i="12"/>
  <c r="U19" i="10"/>
  <c r="U9" i="10"/>
  <c r="BL5" i="17"/>
  <c r="BL6" i="17"/>
  <c r="BL7" i="17"/>
  <c r="AG407" i="12"/>
  <c r="AG409" i="12"/>
  <c r="Y19" i="10"/>
  <c r="G26" i="10"/>
  <c r="G28" i="10" s="1"/>
  <c r="G29" i="10" s="1"/>
  <c r="K407" i="12"/>
  <c r="K409" i="12"/>
  <c r="AU7" i="17"/>
  <c r="O5" i="17"/>
  <c r="W26" i="10"/>
  <c r="W28" i="10" s="1"/>
  <c r="W30" i="10" s="1"/>
  <c r="Y409" i="12"/>
  <c r="M26" i="10"/>
  <c r="M28" i="10" s="1"/>
  <c r="M30" i="10" s="1"/>
  <c r="Q409" i="12"/>
  <c r="AL16" i="10"/>
  <c r="H37" i="10" s="1"/>
  <c r="AL6" i="10"/>
  <c r="D37" i="10" s="1"/>
  <c r="U26" i="10"/>
  <c r="U28" i="10" s="1"/>
  <c r="W407" i="12"/>
  <c r="AQ6" i="17"/>
  <c r="O6" i="17"/>
  <c r="AA14" i="10"/>
  <c r="AK406" i="12"/>
  <c r="AK407" i="12" s="1"/>
  <c r="BO6" i="17"/>
  <c r="J30" i="17" s="1"/>
  <c r="N30" i="17" s="1"/>
  <c r="D26" i="10"/>
  <c r="H407" i="12"/>
  <c r="AA26" i="10"/>
  <c r="AA28" i="10" s="1"/>
  <c r="AC407" i="12"/>
  <c r="S26" i="10"/>
  <c r="S28" i="10" s="1"/>
  <c r="S30" i="10" s="1"/>
  <c r="R26" i="10"/>
  <c r="R28" i="10" s="1"/>
  <c r="Y26" i="10"/>
  <c r="Y28" i="10" s="1"/>
  <c r="Y29" i="10" s="1"/>
  <c r="AA407" i="12"/>
  <c r="K26" i="10"/>
  <c r="K28" i="10" s="1"/>
  <c r="K29" i="10" s="1"/>
  <c r="O407" i="12"/>
  <c r="L26" i="10"/>
  <c r="L28" i="10" s="1"/>
  <c r="P407" i="12"/>
  <c r="AS8" i="1"/>
  <c r="H409" i="12"/>
  <c r="AK26" i="10"/>
  <c r="AK28" i="10" s="1"/>
  <c r="AI407" i="12"/>
  <c r="AA409" i="12"/>
  <c r="AP223" i="14"/>
  <c r="AP224" i="14" s="1"/>
  <c r="AP427" i="14"/>
  <c r="AP428" i="14" s="1"/>
  <c r="K5" i="17"/>
  <c r="K6" i="17"/>
  <c r="P8" i="17"/>
  <c r="Q5" i="17" s="1"/>
  <c r="I7" i="17"/>
  <c r="AW6" i="17"/>
  <c r="AU6" i="17"/>
  <c r="AS6" i="17"/>
  <c r="AQ7" i="17"/>
  <c r="AS5" i="17"/>
  <c r="Z5" i="17"/>
  <c r="Z6" i="17"/>
  <c r="Z7" i="17"/>
  <c r="V5" i="17"/>
  <c r="V6" i="17"/>
  <c r="V7" i="17"/>
  <c r="E6" i="17"/>
  <c r="E5" i="17"/>
  <c r="E7" i="17"/>
  <c r="K23" i="1"/>
  <c r="D32" i="17"/>
  <c r="AQ23" i="1"/>
  <c r="AR22" i="1" s="1"/>
  <c r="BH6" i="17"/>
  <c r="BH7" i="17"/>
  <c r="J31" i="17"/>
  <c r="AI23" i="1"/>
  <c r="AW5" i="17"/>
  <c r="AM6" i="17"/>
  <c r="AM5" i="17"/>
  <c r="AM7" i="17"/>
  <c r="AO6" i="17"/>
  <c r="AO5" i="17"/>
  <c r="AO7" i="17"/>
  <c r="AX8" i="17"/>
  <c r="AY7" i="17" s="1"/>
  <c r="H31" i="17"/>
  <c r="AP1118" i="14"/>
  <c r="AP1119" i="14" s="1"/>
  <c r="AP915" i="14"/>
  <c r="AP916" i="14" s="1"/>
  <c r="AI30" i="10"/>
  <c r="AI31" i="10" s="1"/>
  <c r="AI29" i="10"/>
  <c r="H9" i="10"/>
  <c r="D8" i="10"/>
  <c r="AL7" i="10"/>
  <c r="E9" i="10"/>
  <c r="J30" i="10"/>
  <c r="J31" i="10" s="1"/>
  <c r="J9" i="10"/>
  <c r="AL27" i="10"/>
  <c r="J38" i="10"/>
  <c r="H38" i="10"/>
  <c r="AL18" i="10"/>
  <c r="I30" i="10"/>
  <c r="I31" i="10" s="1"/>
  <c r="AH30" i="10"/>
  <c r="AH31" i="10" s="1"/>
  <c r="AF30" i="10"/>
  <c r="AF31" i="10" s="1"/>
  <c r="AD30" i="10"/>
  <c r="AD31" i="10" s="1"/>
  <c r="Z30" i="10"/>
  <c r="Z31" i="10" s="1"/>
  <c r="X30" i="10"/>
  <c r="X31" i="10" s="1"/>
  <c r="L30" i="10"/>
  <c r="K13" i="10"/>
  <c r="AL12" i="10"/>
  <c r="F29" i="17"/>
  <c r="AG8" i="17"/>
  <c r="AH5" i="17" s="1"/>
  <c r="AB22" i="1" l="1"/>
  <c r="AB16" i="1"/>
  <c r="AB15" i="1"/>
  <c r="AL23" i="10"/>
  <c r="H30" i="10"/>
  <c r="H31" i="10" s="1"/>
  <c r="U29" i="10"/>
  <c r="T18" i="1"/>
  <c r="AS22" i="1"/>
  <c r="AS23" i="1" s="1"/>
  <c r="BO8" i="17"/>
  <c r="BP7" i="17" s="1"/>
  <c r="T22" i="1"/>
  <c r="T12" i="1"/>
  <c r="T11" i="1"/>
  <c r="T6" i="1"/>
  <c r="T14" i="1"/>
  <c r="T9" i="1"/>
  <c r="T17" i="1"/>
  <c r="T5" i="1"/>
  <c r="T7" i="1"/>
  <c r="T13" i="1"/>
  <c r="T15" i="1"/>
  <c r="T8" i="1"/>
  <c r="T10" i="1"/>
  <c r="T16" i="1"/>
  <c r="T19" i="1"/>
  <c r="L31" i="10"/>
  <c r="G30" i="10"/>
  <c r="G31" i="10" s="1"/>
  <c r="L29" i="10"/>
  <c r="N31" i="17"/>
  <c r="AK29" i="10"/>
  <c r="AK30" i="10"/>
  <c r="AK31" i="10" s="1"/>
  <c r="E29" i="10"/>
  <c r="E30" i="10"/>
  <c r="E31" i="10" s="1"/>
  <c r="Q7" i="17"/>
  <c r="AA30" i="10"/>
  <c r="AA31" i="10" s="1"/>
  <c r="AA29" i="10"/>
  <c r="Y30" i="10"/>
  <c r="Y31" i="10" s="1"/>
  <c r="U30" i="10"/>
  <c r="U31" i="10" s="1"/>
  <c r="AL26" i="10"/>
  <c r="L36" i="10" s="1"/>
  <c r="N36" i="10" s="1"/>
  <c r="D28" i="10"/>
  <c r="D29" i="10" s="1"/>
  <c r="Q6" i="17"/>
  <c r="AB18" i="1"/>
  <c r="E30" i="17"/>
  <c r="E29" i="17"/>
  <c r="L18" i="1"/>
  <c r="L15" i="1"/>
  <c r="L12" i="1"/>
  <c r="L11" i="1"/>
  <c r="L9" i="1"/>
  <c r="L6" i="1"/>
  <c r="L20" i="1"/>
  <c r="L19" i="1"/>
  <c r="L17" i="1"/>
  <c r="L13" i="1"/>
  <c r="L10" i="1"/>
  <c r="L8" i="1"/>
  <c r="L7" i="1"/>
  <c r="L5" i="1"/>
  <c r="L14" i="1"/>
  <c r="L16" i="1"/>
  <c r="E31" i="17"/>
  <c r="L22" i="1"/>
  <c r="AR18" i="1"/>
  <c r="AR13" i="1"/>
  <c r="AR12" i="1"/>
  <c r="AR7" i="1"/>
  <c r="AR6" i="1"/>
  <c r="AR5" i="1"/>
  <c r="AR20" i="1"/>
  <c r="AR19" i="1"/>
  <c r="AR17" i="1"/>
  <c r="AR15" i="1"/>
  <c r="AR11" i="1"/>
  <c r="AR10" i="1"/>
  <c r="AR9" i="1"/>
  <c r="AR8" i="1"/>
  <c r="AR14" i="1"/>
  <c r="AR16" i="1"/>
  <c r="AJ17" i="1"/>
  <c r="AJ13" i="1"/>
  <c r="AJ10" i="1"/>
  <c r="AJ8" i="1"/>
  <c r="AJ7" i="1"/>
  <c r="AJ5" i="1"/>
  <c r="AJ20" i="1"/>
  <c r="AJ19" i="1"/>
  <c r="AJ18" i="1"/>
  <c r="AJ15" i="1"/>
  <c r="AJ14" i="1"/>
  <c r="AJ12" i="1"/>
  <c r="AJ11" i="1"/>
  <c r="AJ9" i="1"/>
  <c r="AJ6" i="1"/>
  <c r="AJ16" i="1"/>
  <c r="AJ22" i="1"/>
  <c r="J32" i="17"/>
  <c r="BP6" i="17"/>
  <c r="BP5" i="17"/>
  <c r="AB20" i="1"/>
  <c r="AB19" i="1"/>
  <c r="AB13" i="1"/>
  <c r="AB12" i="1"/>
  <c r="AB7" i="1"/>
  <c r="AB6" i="1"/>
  <c r="AB5" i="1"/>
  <c r="AB17" i="1"/>
  <c r="AB11" i="1"/>
  <c r="AB10" i="1"/>
  <c r="AB9" i="1"/>
  <c r="AB8" i="1"/>
  <c r="AB14" i="1"/>
  <c r="H32" i="17"/>
  <c r="AY6" i="17"/>
  <c r="AY5" i="17"/>
  <c r="H39" i="10"/>
  <c r="AL19" i="10"/>
  <c r="J39" i="10"/>
  <c r="AL24" i="10"/>
  <c r="L37" i="10"/>
  <c r="N37" i="10" s="1"/>
  <c r="AL28" i="10"/>
  <c r="D38" i="10"/>
  <c r="AL8" i="10"/>
  <c r="H40" i="10"/>
  <c r="I38" i="10" s="1"/>
  <c r="D9" i="10"/>
  <c r="F38" i="10"/>
  <c r="AL13" i="10"/>
  <c r="K30" i="10"/>
  <c r="K31" i="10" s="1"/>
  <c r="K14" i="10"/>
  <c r="F32" i="17"/>
  <c r="G29" i="17" s="1"/>
  <c r="N29" i="17"/>
  <c r="AH7" i="17"/>
  <c r="AH6" i="17"/>
  <c r="AT19" i="1" l="1"/>
  <c r="AT10" i="1"/>
  <c r="AT20" i="1"/>
  <c r="AT18" i="1"/>
  <c r="D30" i="10"/>
  <c r="D31" i="10" s="1"/>
  <c r="AT14" i="1"/>
  <c r="AT6" i="1"/>
  <c r="AT12" i="1"/>
  <c r="AT8" i="1"/>
  <c r="AT16" i="1"/>
  <c r="AT5" i="1"/>
  <c r="AT7" i="1"/>
  <c r="AT13" i="1"/>
  <c r="AT15" i="1"/>
  <c r="AT9" i="1"/>
  <c r="AT11" i="1"/>
  <c r="AT17" i="1"/>
  <c r="CF7" i="17"/>
  <c r="CF6" i="17"/>
  <c r="BT8" i="17"/>
  <c r="CF5" i="17"/>
  <c r="K30" i="17"/>
  <c r="K29" i="17"/>
  <c r="K31" i="17"/>
  <c r="I29" i="17"/>
  <c r="I30" i="17"/>
  <c r="I31" i="17"/>
  <c r="D39" i="10"/>
  <c r="D40" i="10" s="1"/>
  <c r="E38" i="10" s="1"/>
  <c r="AL9" i="10"/>
  <c r="AL29" i="10"/>
  <c r="L39" i="10" s="1"/>
  <c r="L38" i="10"/>
  <c r="N38" i="10" s="1"/>
  <c r="I37" i="10"/>
  <c r="I36" i="10"/>
  <c r="I39" i="10"/>
  <c r="F39" i="10"/>
  <c r="F40" i="10" s="1"/>
  <c r="G38" i="10" s="1"/>
  <c r="AL30" i="10"/>
  <c r="AL31" i="10" s="1"/>
  <c r="AL14" i="10"/>
  <c r="N32" i="17"/>
  <c r="O29" i="17" s="1"/>
  <c r="G31" i="17"/>
  <c r="G30" i="17"/>
  <c r="AT22" i="1" l="1"/>
  <c r="AU22" i="1"/>
  <c r="CF8" i="17"/>
  <c r="CG5" i="17" s="1"/>
  <c r="BU5" i="17"/>
  <c r="BU6" i="17"/>
  <c r="BU7" i="17"/>
  <c r="L29" i="17"/>
  <c r="L30" i="17"/>
  <c r="L31" i="17"/>
  <c r="E37" i="10"/>
  <c r="E36" i="10"/>
  <c r="E39" i="10"/>
  <c r="G37" i="10"/>
  <c r="G36" i="10"/>
  <c r="N39" i="10"/>
  <c r="G39" i="10"/>
  <c r="O31" i="17"/>
  <c r="O30" i="17"/>
  <c r="CG6" i="17" l="1"/>
  <c r="CG7" i="17"/>
  <c r="L32" i="17"/>
  <c r="M31" i="17" s="1"/>
  <c r="N40" i="10"/>
  <c r="M29" i="17" l="1"/>
  <c r="M30" i="17"/>
  <c r="O37" i="10"/>
  <c r="O36" i="10"/>
  <c r="O38" i="10"/>
  <c r="O39" i="10"/>
  <c r="K38" i="10"/>
  <c r="K39" i="10"/>
  <c r="K37" i="10"/>
  <c r="J40" i="10"/>
  <c r="K36" i="10"/>
  <c r="M38" i="10"/>
  <c r="M39" i="10"/>
  <c r="M36" i="10"/>
  <c r="L40" i="10"/>
  <c r="M37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QA-QC STAFF</author>
  </authors>
  <commentList>
    <comment ref="Z8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QA-QC STAFF:</t>
        </r>
        <r>
          <rPr>
            <sz val="9"/>
            <color indexed="81"/>
            <rFont val="Tahoma"/>
            <family val="2"/>
          </rPr>
          <t xml:space="preserve">
Shaping O/S</t>
        </r>
      </text>
    </comment>
    <comment ref="Z83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QA-QC STAFF:</t>
        </r>
        <r>
          <rPr>
            <sz val="9"/>
            <color indexed="81"/>
            <rFont val="Tahoma"/>
            <family val="2"/>
          </rPr>
          <t xml:space="preserve">
Spray</t>
        </r>
      </text>
    </comment>
    <comment ref="Z139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QA-QC STAFF:</t>
        </r>
        <r>
          <rPr>
            <sz val="9"/>
            <color indexed="81"/>
            <rFont val="Tahoma"/>
            <family val="2"/>
          </rPr>
          <t xml:space="preserve">
Shapping O/S
</t>
        </r>
      </text>
    </comment>
    <comment ref="Z140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QA-QC STAFF:</t>
        </r>
        <r>
          <rPr>
            <sz val="9"/>
            <color indexed="81"/>
            <rFont val="Tahoma"/>
            <family val="2"/>
          </rPr>
          <t xml:space="preserve">
Shaping O/S</t>
        </r>
      </text>
    </comment>
    <comment ref="Z14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QA-QC STAFF:</t>
        </r>
        <r>
          <rPr>
            <sz val="9"/>
            <color indexed="81"/>
            <rFont val="Tahoma"/>
            <family val="2"/>
          </rPr>
          <t xml:space="preserve">
Shaping O/S</t>
        </r>
      </text>
    </comment>
  </commentList>
</comments>
</file>

<file path=xl/sharedStrings.xml><?xml version="1.0" encoding="utf-8"?>
<sst xmlns="http://schemas.openxmlformats.org/spreadsheetml/2006/main" count="2325" uniqueCount="160">
  <si>
    <t xml:space="preserve"> </t>
  </si>
  <si>
    <t>WEEK 1</t>
  </si>
  <si>
    <t>WEEK 2</t>
  </si>
  <si>
    <t>WEEK 3</t>
  </si>
  <si>
    <t>WEEK 4</t>
  </si>
  <si>
    <t>WEEK 5</t>
  </si>
  <si>
    <t>TOTAL</t>
  </si>
  <si>
    <t>TOTAL ALL</t>
  </si>
  <si>
    <t xml:space="preserve">Outlet </t>
  </si>
  <si>
    <t>Total</t>
  </si>
  <si>
    <t>Donasi</t>
  </si>
  <si>
    <t>A-Grade</t>
  </si>
  <si>
    <t xml:space="preserve">Pitting </t>
  </si>
  <si>
    <t xml:space="preserve">Indent </t>
  </si>
  <si>
    <t xml:space="preserve">Lining </t>
  </si>
  <si>
    <t xml:space="preserve">Shapping </t>
  </si>
  <si>
    <t xml:space="preserve">Total </t>
  </si>
  <si>
    <t xml:space="preserve">Line </t>
  </si>
  <si>
    <t xml:space="preserve">Tanggal </t>
  </si>
  <si>
    <t xml:space="preserve">Model Name </t>
  </si>
  <si>
    <t xml:space="preserve">Color </t>
  </si>
  <si>
    <t>Total Per-hari</t>
  </si>
  <si>
    <t>Pin Hole</t>
  </si>
  <si>
    <t>Destroy</t>
  </si>
  <si>
    <t>S</t>
  </si>
  <si>
    <t>SS</t>
  </si>
  <si>
    <t>M</t>
  </si>
  <si>
    <t>L</t>
  </si>
  <si>
    <t>LL</t>
  </si>
  <si>
    <t>3L</t>
  </si>
  <si>
    <t>4L</t>
  </si>
  <si>
    <t>Trimming</t>
  </si>
  <si>
    <t>Week 1</t>
  </si>
  <si>
    <t>Week 2</t>
  </si>
  <si>
    <t>Week 3</t>
  </si>
  <si>
    <t>Week 4</t>
  </si>
  <si>
    <t>Week 5</t>
  </si>
  <si>
    <t>GRAND TOTAL</t>
  </si>
  <si>
    <t>Gusset</t>
  </si>
  <si>
    <t>Contamination</t>
  </si>
  <si>
    <t>Salah Buckle</t>
  </si>
  <si>
    <t>Orange Peel</t>
  </si>
  <si>
    <t>Outlet</t>
  </si>
  <si>
    <t>Donation</t>
  </si>
  <si>
    <t>SUMMARY DOD by DEFECT</t>
  </si>
  <si>
    <t>TOT. PROD</t>
  </si>
  <si>
    <t>TOT. DOD</t>
  </si>
  <si>
    <t xml:space="preserve">Bubble </t>
  </si>
  <si>
    <t>LINE</t>
  </si>
  <si>
    <t>TOTAL WEEK 1</t>
  </si>
  <si>
    <t>WEEK</t>
  </si>
  <si>
    <t>DATE</t>
  </si>
  <si>
    <t>MODEL NAME</t>
  </si>
  <si>
    <t>COLORS</t>
  </si>
  <si>
    <t>SIZE</t>
  </si>
  <si>
    <t>Dam. Vamp</t>
  </si>
  <si>
    <t>Dam. Foxing</t>
  </si>
  <si>
    <t>Dam. H/S</t>
  </si>
  <si>
    <t>Dam. Spray</t>
  </si>
  <si>
    <t>Dam. Leg</t>
  </si>
  <si>
    <t>X. Lining</t>
  </si>
  <si>
    <t>X. Vamp</t>
  </si>
  <si>
    <t>X. Process</t>
  </si>
  <si>
    <t>Week#2</t>
  </si>
  <si>
    <t>Week#1</t>
  </si>
  <si>
    <t>Week#3</t>
  </si>
  <si>
    <t>WEEK#1</t>
  </si>
  <si>
    <t>TOTAL WEEK 5</t>
  </si>
  <si>
    <t>WEEK#5</t>
  </si>
  <si>
    <t>WEEK#4</t>
  </si>
  <si>
    <t>TOTAL WEEK 4</t>
  </si>
  <si>
    <t>WEEK#3</t>
  </si>
  <si>
    <t>TOTAL WEEK 3</t>
  </si>
  <si>
    <t>WEEK#2</t>
  </si>
  <si>
    <t>TOTAL WEEK 2</t>
  </si>
  <si>
    <t>Week#4</t>
  </si>
  <si>
    <t>Week#5</t>
  </si>
  <si>
    <t>Dam. Top Bind</t>
  </si>
  <si>
    <t>Dam. Logo</t>
  </si>
  <si>
    <t>Bond gap vamp</t>
  </si>
  <si>
    <t>Bond Gap Outsole</t>
  </si>
  <si>
    <t>Bond gap Lining</t>
  </si>
  <si>
    <t>Others</t>
  </si>
  <si>
    <t>DESTROY</t>
  </si>
  <si>
    <t>DONATION</t>
  </si>
  <si>
    <t>Salah Gauge</t>
  </si>
  <si>
    <t>Blister Tech</t>
  </si>
  <si>
    <t>Blister Assy</t>
  </si>
  <si>
    <t>Week #2</t>
  </si>
  <si>
    <t>Week #3</t>
  </si>
  <si>
    <t>Re Bonding</t>
  </si>
  <si>
    <t>Dam. O/S</t>
  </si>
  <si>
    <t>Dam.O/S</t>
  </si>
  <si>
    <t>Dam. Lining</t>
  </si>
  <si>
    <t>Uncure</t>
  </si>
  <si>
    <t>`</t>
  </si>
  <si>
    <t>1st Week</t>
  </si>
  <si>
    <t>Prs</t>
  </si>
  <si>
    <t>%</t>
  </si>
  <si>
    <t>B-Grade</t>
  </si>
  <si>
    <t>C-Grade</t>
  </si>
  <si>
    <t>Total Production</t>
  </si>
  <si>
    <t>2nd Week</t>
  </si>
  <si>
    <t>3rd Week</t>
  </si>
  <si>
    <t>4th Week</t>
  </si>
  <si>
    <t>5th Week</t>
  </si>
  <si>
    <t>monthly</t>
  </si>
  <si>
    <t>5th week</t>
  </si>
  <si>
    <t>Line 4</t>
  </si>
  <si>
    <t>Line 5</t>
  </si>
  <si>
    <t>Line -</t>
  </si>
  <si>
    <t>Over Buffing</t>
  </si>
  <si>
    <t>Over Cement</t>
  </si>
  <si>
    <t>Stroble</t>
  </si>
  <si>
    <t>Indent</t>
  </si>
  <si>
    <t>Cold Cement</t>
  </si>
  <si>
    <t>C - GRADE</t>
  </si>
  <si>
    <t>Qty ( prs )</t>
  </si>
  <si>
    <t>Pitting</t>
  </si>
  <si>
    <t>Blister</t>
  </si>
  <si>
    <t>Bond gap</t>
  </si>
  <si>
    <t>Bubble</t>
  </si>
  <si>
    <t>Damage</t>
  </si>
  <si>
    <t>X-Ray</t>
  </si>
  <si>
    <t>Shapping</t>
  </si>
  <si>
    <t>TOP 3 C - GRADE</t>
  </si>
  <si>
    <t>Top</t>
  </si>
  <si>
    <t>Defect</t>
  </si>
  <si>
    <t>prs</t>
  </si>
  <si>
    <t>Sep '21</t>
  </si>
  <si>
    <t>Lining</t>
  </si>
  <si>
    <t xml:space="preserve">
 B Grade</t>
  </si>
  <si>
    <t xml:space="preserve">
 C Grade</t>
  </si>
  <si>
    <t>Line-</t>
  </si>
  <si>
    <t>Yellowing</t>
  </si>
  <si>
    <t>DAILY ABC GRADE PRODUCTION</t>
  </si>
  <si>
    <t>Line 6</t>
  </si>
  <si>
    <t>Black</t>
  </si>
  <si>
    <t>Dam. Upper</t>
  </si>
  <si>
    <t>C GRADE OFF WHITE</t>
  </si>
  <si>
    <t>B.GRADE OFF WHITE</t>
  </si>
  <si>
    <t>CODE</t>
  </si>
  <si>
    <t>Sponge Rubber Rain</t>
  </si>
  <si>
    <t>PWIE004F22MAT001</t>
  </si>
  <si>
    <t>TOT. BC</t>
  </si>
  <si>
    <t>TOT.BC</t>
  </si>
  <si>
    <t>White</t>
  </si>
  <si>
    <t>blister</t>
  </si>
  <si>
    <t>pitting</t>
  </si>
  <si>
    <t>SNOW</t>
  </si>
  <si>
    <t>AMBUS</t>
  </si>
  <si>
    <t>NEO</t>
  </si>
  <si>
    <t>TTL PROD</t>
  </si>
  <si>
    <t>Pink purple</t>
  </si>
  <si>
    <t>Black/Violet</t>
  </si>
  <si>
    <t>OMID016F22MAT001</t>
  </si>
  <si>
    <t>OWIE016F22MAT001</t>
  </si>
  <si>
    <t>Black/White</t>
  </si>
  <si>
    <t>Logo Sponge Rubber Rain</t>
  </si>
  <si>
    <t>Bone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</si>
</sst>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&quot;$&quot;#,##0_);[Red]\(&quot;$&quot;#,##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m/d;@"/>
    <numFmt numFmtId="169" formatCode="_-* #,##0.0_-;\-* #,##0.0_-;_-* &quot;-&quot;??_-;_-@_-"/>
    <numFmt numFmtId="170" formatCode="_-* #,##0_-;\-* #,##0_-;_-* &quot;-&quot;??_-;_-@_-"/>
    <numFmt numFmtId="171" formatCode="_(* #,##0_);_(* \(#,##0\);_(* \-_);_(@_)"/>
    <numFmt numFmtId="172" formatCode="#,###"/>
    <numFmt numFmtId="173" formatCode="0.0"/>
    <numFmt numFmtId="174" formatCode="_(* #,##0.0_);_(* \(#,##0.0\);_(* &quot;-&quot;?_);_(@_)"/>
    <numFmt numFmtId="175" formatCode="_(* #,##0.0_);_(* \(#,##0.0\);_(* &quot;-&quot;??_);_(@_)"/>
    <numFmt numFmtId="176" formatCode="[$-409]mmm/yy;@"/>
    <numFmt numFmtId="177" formatCode="0.0%"/>
  </numFmts>
  <fonts count="6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i/>
      <sz val="11"/>
      <color theme="1"/>
      <name val="Calibri"/>
      <family val="2"/>
      <scheme val="minor"/>
    </font>
    <font>
      <b/>
      <sz val="14"/>
      <color theme="1"/>
      <name val="Tahoma"/>
      <family val="2"/>
    </font>
    <font>
      <b/>
      <sz val="11"/>
      <name val="Calibri"/>
      <family val="2"/>
      <scheme val="minor"/>
    </font>
    <font>
      <b/>
      <i/>
      <sz val="10"/>
      <color theme="1"/>
      <name val="Tahoma"/>
      <family val="2"/>
    </font>
    <font>
      <b/>
      <sz val="10"/>
      <name val="Tahoma"/>
      <family val="2"/>
    </font>
    <font>
      <b/>
      <sz val="10"/>
      <color rgb="FFFF0000"/>
      <name val="Tahoma"/>
      <family val="2"/>
    </font>
    <font>
      <b/>
      <i/>
      <sz val="10"/>
      <color rgb="FFFF0000"/>
      <name val="Tahoma"/>
      <family val="2"/>
    </font>
    <font>
      <sz val="10"/>
      <color rgb="FFFF0000"/>
      <name val="Tahoma"/>
      <family val="2"/>
    </font>
    <font>
      <b/>
      <sz val="10"/>
      <color theme="3"/>
      <name val="Tahoma"/>
      <family val="2"/>
    </font>
    <font>
      <b/>
      <i/>
      <sz val="10"/>
      <color theme="3"/>
      <name val="Tahoma"/>
      <family val="2"/>
    </font>
    <font>
      <b/>
      <i/>
      <sz val="10"/>
      <name val="Tahoma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2"/>
      <name val="新細明體"/>
      <family val="1"/>
      <charset val="136"/>
    </font>
    <font>
      <b/>
      <sz val="14"/>
      <color indexed="8"/>
      <name val="Book Antiqua"/>
      <family val="1"/>
    </font>
    <font>
      <sz val="9"/>
      <color theme="1"/>
      <name val="Segoe UI"/>
      <family val="2"/>
    </font>
    <font>
      <sz val="10"/>
      <color indexed="8"/>
      <name val="MS Sans Serif"/>
      <family val="2"/>
    </font>
    <font>
      <sz val="12"/>
      <color indexed="8"/>
      <name val="SimSun"/>
    </font>
    <font>
      <u/>
      <sz val="8"/>
      <color indexed="12"/>
      <name val="Arial"/>
      <family val="2"/>
    </font>
    <font>
      <u/>
      <sz val="10"/>
      <color theme="10"/>
      <name val="Arial"/>
      <family val="2"/>
    </font>
    <font>
      <sz val="12"/>
      <name val="SimSun"/>
    </font>
    <font>
      <sz val="9"/>
      <color theme="1"/>
      <name val="Calibri"/>
      <family val="2"/>
      <scheme val="minor"/>
    </font>
    <font>
      <sz val="11"/>
      <name val="돋움"/>
      <family val="3"/>
      <charset val="129"/>
    </font>
    <font>
      <sz val="10"/>
      <color theme="1"/>
      <name val="Calibri"/>
      <family val="2"/>
      <charset val="1"/>
      <scheme val="minor"/>
    </font>
    <font>
      <b/>
      <sz val="10"/>
      <color indexed="8"/>
      <name val="Arial"/>
      <family val="2"/>
    </font>
    <font>
      <sz val="12"/>
      <name val="宋体"/>
      <charset val="134"/>
    </font>
    <font>
      <sz val="12"/>
      <name val="宋体"/>
      <family val="3"/>
      <charset val="134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sz val="11"/>
      <color theme="1"/>
      <name val="Century Gothic"/>
      <family val="2"/>
    </font>
    <font>
      <b/>
      <sz val="20"/>
      <color theme="0"/>
      <name val="Century Gothic"/>
      <family val="2"/>
    </font>
    <font>
      <b/>
      <sz val="12"/>
      <color rgb="FFFF0000"/>
      <name val="Century Gothic"/>
      <family val="2"/>
    </font>
    <font>
      <b/>
      <sz val="10"/>
      <color theme="1"/>
      <name val="Century Gothic"/>
      <family val="2"/>
    </font>
    <font>
      <b/>
      <sz val="10"/>
      <color rgb="FFFF0000"/>
      <name val="Century Gothic"/>
      <family val="2"/>
    </font>
    <font>
      <b/>
      <sz val="10"/>
      <color theme="1"/>
      <name val="Calibri"/>
      <family val="2"/>
      <scheme val="minor"/>
    </font>
    <font>
      <sz val="10"/>
      <name val="Tahoma"/>
      <family val="2"/>
    </font>
    <font>
      <sz val="11"/>
      <name val="Century Gothic"/>
      <family val="2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8"/>
      <name val="宋体"/>
      <charset val="134"/>
    </font>
    <font>
      <sz val="11"/>
      <color theme="1"/>
      <name val="Calibri"/>
      <family val="2"/>
    </font>
    <font>
      <sz val="11"/>
      <name val="Calibri"/>
      <family val="2"/>
    </font>
    <font>
      <sz val="12"/>
      <name val="Century Gothic"/>
      <family val="2"/>
    </font>
    <font>
      <sz val="20"/>
      <color theme="1"/>
      <name val="Georgia"/>
      <family val="1"/>
    </font>
    <font>
      <b/>
      <sz val="11"/>
      <color theme="1"/>
      <name val="Georgia"/>
      <family val="1"/>
    </font>
    <font>
      <sz val="11"/>
      <color theme="1"/>
      <name val="Georgia"/>
      <family val="1"/>
    </font>
    <font>
      <b/>
      <sz val="11"/>
      <name val="Georgia"/>
      <family val="1"/>
    </font>
    <font>
      <b/>
      <sz val="22"/>
      <color theme="1"/>
      <name val="Georgia"/>
      <family val="1"/>
    </font>
    <font>
      <sz val="10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b/>
      <sz val="16"/>
      <color rgb="FFFF0000"/>
      <name val="Century Gothic"/>
      <family val="2"/>
    </font>
    <font>
      <b/>
      <sz val="14"/>
      <color theme="1"/>
      <name val="Century Gothic"/>
      <family val="2"/>
    </font>
  </fonts>
  <fills count="2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13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double">
        <color auto="1"/>
      </left>
      <right/>
      <top style="double">
        <color auto="1"/>
      </top>
      <bottom style="thin">
        <color indexed="64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thin">
        <color indexed="64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double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double">
        <color auto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double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double">
        <color theme="0" tint="-0.499984740745262"/>
      </left>
      <right style="thin">
        <color theme="0" tint="-0.499984740745262"/>
      </right>
      <top style="double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 style="double">
        <color auto="1"/>
      </left>
      <right style="thin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auto="1"/>
      </right>
      <top style="double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/>
      <bottom/>
      <diagonal/>
    </border>
    <border>
      <left style="double">
        <color theme="0" tint="-0.499984740745262"/>
      </left>
      <right/>
      <top style="thin">
        <color theme="0" tint="-0.499984740745262"/>
      </top>
      <bottom style="double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double">
        <color auto="1"/>
      </left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 style="double">
        <color auto="1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 style="double">
        <color auto="1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double">
        <color auto="1"/>
      </right>
      <top/>
      <bottom style="thin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/>
      <bottom style="double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double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double">
        <color indexed="64"/>
      </bottom>
      <diagonal/>
    </border>
    <border>
      <left style="thin">
        <color indexed="64"/>
      </left>
      <right style="double">
        <color auto="1"/>
      </right>
      <top style="double">
        <color auto="1"/>
      </top>
      <bottom style="double">
        <color indexed="64"/>
      </bottom>
      <diagonal/>
    </border>
    <border>
      <left style="thin">
        <color indexed="64"/>
      </left>
      <right/>
      <top style="double">
        <color auto="1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theme="1"/>
      </left>
      <right/>
      <top style="double">
        <color theme="0" tint="-0.499984740745262"/>
      </top>
      <bottom style="thin">
        <color theme="0" tint="-0.499984740745262"/>
      </bottom>
      <diagonal/>
    </border>
    <border>
      <left style="double">
        <color theme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double">
        <color theme="1"/>
      </left>
      <right/>
      <top style="thin">
        <color theme="0" tint="-0.499984740745262"/>
      </top>
      <bottom style="double">
        <color theme="0" tint="-0.499984740745262"/>
      </bottom>
      <diagonal/>
    </border>
    <border>
      <left style="double">
        <color theme="1"/>
      </left>
      <right/>
      <top/>
      <bottom style="thin">
        <color theme="0" tint="-0.499984740745262"/>
      </bottom>
      <diagonal/>
    </border>
    <border>
      <left style="double">
        <color theme="1"/>
      </left>
      <right/>
      <top style="thin">
        <color theme="0" tint="-0.499984740745262"/>
      </top>
      <bottom/>
      <diagonal/>
    </border>
    <border>
      <left style="double">
        <color theme="1"/>
      </left>
      <right/>
      <top style="thin">
        <color indexed="64"/>
      </top>
      <bottom style="double">
        <color theme="0" tint="-0.499984740745262"/>
      </bottom>
      <diagonal/>
    </border>
    <border>
      <left/>
      <right style="double">
        <color auto="1"/>
      </right>
      <top style="thin">
        <color indexed="64"/>
      </top>
      <bottom style="double">
        <color theme="0" tint="-0.499984740745262"/>
      </bottom>
      <diagonal/>
    </border>
    <border>
      <left/>
      <right/>
      <top style="double">
        <color theme="0" tint="-0.499984740745262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theme="1"/>
      </left>
      <right/>
      <top/>
      <bottom style="double">
        <color theme="0" tint="-0.499984740745262"/>
      </bottom>
      <diagonal/>
    </border>
    <border>
      <left/>
      <right style="double">
        <color auto="1"/>
      </right>
      <top/>
      <bottom style="double">
        <color theme="0" tint="-0.499984740745262"/>
      </bottom>
      <diagonal/>
    </border>
    <border>
      <left style="double">
        <color auto="1"/>
      </left>
      <right/>
      <top/>
      <bottom style="double">
        <color theme="0" tint="-0.499984740745262"/>
      </bottom>
      <diagonal/>
    </border>
    <border>
      <left style="double">
        <color auto="1"/>
      </left>
      <right style="thin">
        <color theme="0" tint="-0.499984740745262"/>
      </right>
      <top style="thin">
        <color theme="0" tint="-0.499984740745262"/>
      </top>
      <bottom style="double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double">
        <color theme="0" tint="-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theme="1"/>
      </left>
      <right style="thin">
        <color theme="0" tint="-0.499984740745262"/>
      </right>
      <top style="double">
        <color theme="0" tint="-0.499984740745262"/>
      </top>
      <bottom style="thin">
        <color theme="0" tint="-0.499984740745262"/>
      </bottom>
      <diagonal/>
    </border>
    <border>
      <left style="double">
        <color theme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ouble">
        <color theme="1"/>
      </left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double">
        <color theme="1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double">
        <color theme="1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0" tint="-0.499984740745262"/>
      </left>
      <right style="double">
        <color theme="1"/>
      </right>
      <top style="double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1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double">
        <color auto="1"/>
      </left>
      <right style="thin">
        <color auto="1"/>
      </right>
      <top style="thin">
        <color indexed="64"/>
      </top>
      <bottom style="double">
        <color theme="0" tint="-0.499984740745262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medium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09">
    <xf numFmtId="0" fontId="0" fillId="0" borderId="0"/>
    <xf numFmtId="43" fontId="1" fillId="0" borderId="0" applyFont="0" applyFill="0" applyBorder="0" applyAlignment="0" applyProtection="0"/>
    <xf numFmtId="0" fontId="17" fillId="0" borderId="0">
      <alignment vertical="top"/>
    </xf>
    <xf numFmtId="0" fontId="18" fillId="0" borderId="0"/>
    <xf numFmtId="0" fontId="18" fillId="0" borderId="0"/>
    <xf numFmtId="0" fontId="17" fillId="0" borderId="0">
      <alignment vertical="top"/>
    </xf>
    <xf numFmtId="165" fontId="1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19" fillId="0" borderId="0" applyFont="0" applyFill="0" applyBorder="0" applyAlignment="0" applyProtection="0"/>
    <xf numFmtId="171" fontId="20" fillId="0" borderId="0" applyFill="0" applyBorder="0" applyAlignment="0" applyProtection="0"/>
    <xf numFmtId="165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8" fillId="0" borderId="0" applyFont="0" applyFill="0" applyBorder="0" applyAlignment="0" applyProtection="0"/>
    <xf numFmtId="172" fontId="22" fillId="0" borderId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43" fontId="22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" fillId="2" borderId="0" applyNumberFormat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8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18" fillId="0" borderId="0"/>
    <xf numFmtId="0" fontId="18" fillId="0" borderId="0"/>
    <xf numFmtId="0" fontId="18" fillId="0" borderId="0"/>
    <xf numFmtId="0" fontId="18" fillId="0" borderId="0">
      <alignment vertical="top"/>
    </xf>
    <xf numFmtId="0" fontId="18" fillId="0" borderId="0"/>
    <xf numFmtId="0" fontId="18" fillId="0" borderId="0"/>
    <xf numFmtId="0" fontId="18" fillId="0" borderId="0"/>
    <xf numFmtId="0" fontId="18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8" fillId="0" borderId="0"/>
    <xf numFmtId="0" fontId="19" fillId="0" borderId="0"/>
    <xf numFmtId="0" fontId="18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31" fillId="0" borderId="0"/>
    <xf numFmtId="0" fontId="18" fillId="0" borderId="0">
      <alignment vertical="top"/>
    </xf>
    <xf numFmtId="0" fontId="18" fillId="0" borderId="0">
      <alignment vertical="top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3" borderId="1" applyNumberFormat="0" applyFont="0" applyAlignment="0" applyProtection="0"/>
    <xf numFmtId="0" fontId="18" fillId="3" borderId="1" applyNumberFormat="0" applyFont="0" applyAlignment="0" applyProtection="0"/>
    <xf numFmtId="0" fontId="19" fillId="3" borderId="1" applyNumberFormat="0" applyFont="0" applyAlignment="0" applyProtection="0"/>
    <xf numFmtId="0" fontId="19" fillId="3" borderId="1" applyNumberFormat="0" applyFont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8" fillId="0" borderId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33" fillId="9" borderId="0" applyNumberFormat="0" applyProtection="0">
      <alignment horizontal="left" vertical="center" indent="1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0" borderId="0">
      <alignment vertical="top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34" fillId="0" borderId="0" applyProtection="0">
      <alignment vertical="center"/>
    </xf>
    <xf numFmtId="0" fontId="35" fillId="0" borderId="0">
      <alignment vertical="center"/>
    </xf>
    <xf numFmtId="0" fontId="17" fillId="0" borderId="0">
      <alignment vertical="top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2" fillId="0" borderId="0">
      <alignment vertical="top"/>
    </xf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>
      <alignment vertical="center"/>
    </xf>
    <xf numFmtId="176" fontId="34" fillId="0" borderId="0"/>
    <xf numFmtId="0" fontId="50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6" fontId="51" fillId="0" borderId="0"/>
    <xf numFmtId="0" fontId="51" fillId="0" borderId="0"/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7" fillId="9" borderId="12" applyNumberFormat="0" applyProtection="0">
      <alignment horizontal="left" vertical="top" indent="1"/>
    </xf>
    <xf numFmtId="4" fontId="17" fillId="11" borderId="12" applyNumberFormat="0" applyProtection="0">
      <alignment horizontal="left" vertical="center" indent="1"/>
    </xf>
    <xf numFmtId="4" fontId="17" fillId="10" borderId="12" applyNumberFormat="0" applyProtection="0">
      <alignment horizontal="right" vertical="center"/>
    </xf>
    <xf numFmtId="4" fontId="17" fillId="8" borderId="11" applyNumberFormat="0" applyProtection="0">
      <alignment vertical="center"/>
    </xf>
    <xf numFmtId="0" fontId="17" fillId="9" borderId="12" applyNumberFormat="0" applyProtection="0">
      <alignment horizontal="left" vertical="top" indent="1"/>
    </xf>
    <xf numFmtId="4" fontId="17" fillId="11" borderId="12" applyNumberFormat="0" applyProtection="0">
      <alignment horizontal="left" vertical="center" indent="1"/>
    </xf>
    <xf numFmtId="4" fontId="17" fillId="10" borderId="12" applyNumberFormat="0" applyProtection="0">
      <alignment horizontal="right" vertical="center"/>
    </xf>
    <xf numFmtId="4" fontId="17" fillId="8" borderId="11" applyNumberFormat="0" applyProtection="0">
      <alignment vertical="center"/>
    </xf>
    <xf numFmtId="0" fontId="17" fillId="9" borderId="12" applyNumberFormat="0" applyProtection="0">
      <alignment horizontal="left" vertical="top" indent="1"/>
    </xf>
    <xf numFmtId="4" fontId="17" fillId="11" borderId="12" applyNumberFormat="0" applyProtection="0">
      <alignment horizontal="left" vertical="center" indent="1"/>
    </xf>
    <xf numFmtId="4" fontId="17" fillId="10" borderId="12" applyNumberFormat="0" applyProtection="0">
      <alignment horizontal="right"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8" fillId="0" borderId="0" applyProtection="0"/>
    <xf numFmtId="0" fontId="18" fillId="0" borderId="0" applyProtection="0"/>
    <xf numFmtId="0" fontId="22" fillId="0" borderId="0" applyProtection="0"/>
    <xf numFmtId="0" fontId="19" fillId="0" borderId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8" fillId="0" borderId="0" applyProtection="0"/>
    <xf numFmtId="0" fontId="1" fillId="0" borderId="0"/>
    <xf numFmtId="0" fontId="18" fillId="0" borderId="0" applyProtection="0"/>
    <xf numFmtId="167" fontId="1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8" fillId="0" borderId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" fillId="0" borderId="0" applyFont="0" applyFill="0" applyBorder="0" applyAlignment="0" applyProtection="0"/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8" borderId="11" applyNumberFormat="0" applyProtection="0">
      <alignment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0" borderId="12" applyNumberFormat="0" applyProtection="0">
      <alignment horizontal="right" vertical="center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4" fontId="17" fillId="11" borderId="12" applyNumberFormat="0" applyProtection="0">
      <alignment horizontal="left" vertical="center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  <xf numFmtId="0" fontId="17" fillId="9" borderId="12" applyNumberFormat="0" applyProtection="0">
      <alignment horizontal="left" vertical="top" indent="1"/>
    </xf>
  </cellStyleXfs>
  <cellXfs count="650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" fontId="6" fillId="0" borderId="0" xfId="0" applyNumberFormat="1" applyFont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169" fontId="10" fillId="0" borderId="9" xfId="1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15" xfId="0" applyBorder="1"/>
    <xf numFmtId="0" fontId="0" fillId="0" borderId="15" xfId="0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0" fillId="5" borderId="5" xfId="0" applyFill="1" applyBorder="1"/>
    <xf numFmtId="173" fontId="0" fillId="0" borderId="5" xfId="0" applyNumberFormat="1" applyBorder="1"/>
    <xf numFmtId="173" fontId="0" fillId="0" borderId="15" xfId="0" applyNumberFormat="1" applyBorder="1"/>
    <xf numFmtId="0" fontId="3" fillId="0" borderId="0" xfId="0" applyFont="1" applyAlignment="1">
      <alignment horizontal="center" vertical="center"/>
    </xf>
    <xf numFmtId="0" fontId="3" fillId="15" borderId="5" xfId="0" applyFont="1" applyFill="1" applyBorder="1" applyAlignment="1">
      <alignment horizontal="center" vertical="center"/>
    </xf>
    <xf numFmtId="173" fontId="3" fillId="0" borderId="5" xfId="0" applyNumberFormat="1" applyFont="1" applyBorder="1" applyAlignment="1">
      <alignment horizontal="center" vertical="center"/>
    </xf>
    <xf numFmtId="173" fontId="3" fillId="15" borderId="5" xfId="0" applyNumberFormat="1" applyFont="1" applyFill="1" applyBorder="1" applyAlignment="1">
      <alignment horizontal="center" vertical="center"/>
    </xf>
    <xf numFmtId="10" fontId="5" fillId="0" borderId="0" xfId="391" applyNumberFormat="1" applyFont="1" applyAlignment="1">
      <alignment horizontal="center" vertical="center"/>
    </xf>
    <xf numFmtId="169" fontId="5" fillId="0" borderId="9" xfId="1" applyNumberFormat="1" applyFont="1" applyBorder="1" applyAlignment="1">
      <alignment horizontal="center" vertical="center"/>
    </xf>
    <xf numFmtId="169" fontId="5" fillId="0" borderId="8" xfId="1" applyNumberFormat="1" applyFont="1" applyBorder="1" applyAlignment="1">
      <alignment horizontal="center" vertical="center"/>
    </xf>
    <xf numFmtId="169" fontId="11" fillId="0" borderId="9" xfId="1" applyNumberFormat="1" applyFont="1" applyBorder="1" applyAlignment="1">
      <alignment horizontal="center" vertical="center"/>
    </xf>
    <xf numFmtId="169" fontId="11" fillId="0" borderId="8" xfId="1" applyNumberFormat="1" applyFont="1" applyBorder="1" applyAlignment="1">
      <alignment horizontal="center" vertical="center"/>
    </xf>
    <xf numFmtId="169" fontId="14" fillId="0" borderId="9" xfId="1" applyNumberFormat="1" applyFont="1" applyBorder="1" applyAlignment="1">
      <alignment horizontal="center" vertical="center"/>
    </xf>
    <xf numFmtId="169" fontId="14" fillId="0" borderId="8" xfId="1" applyNumberFormat="1" applyFont="1" applyBorder="1" applyAlignment="1">
      <alignment horizontal="center" vertical="center"/>
    </xf>
    <xf numFmtId="0" fontId="0" fillId="0" borderId="5" xfId="0" applyBorder="1"/>
    <xf numFmtId="0" fontId="3" fillId="1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169" fontId="14" fillId="0" borderId="21" xfId="1" applyNumberFormat="1" applyFont="1" applyBorder="1" applyAlignment="1">
      <alignment horizontal="center" vertical="center"/>
    </xf>
    <xf numFmtId="169" fontId="14" fillId="0" borderId="23" xfId="1" applyNumberFormat="1" applyFont="1" applyBorder="1" applyAlignment="1">
      <alignment horizontal="center" vertical="center"/>
    </xf>
    <xf numFmtId="169" fontId="5" fillId="0" borderId="23" xfId="1" applyNumberFormat="1" applyFont="1" applyBorder="1" applyAlignment="1">
      <alignment horizontal="center" vertical="center"/>
    </xf>
    <xf numFmtId="168" fontId="8" fillId="6" borderId="10" xfId="0" applyNumberFormat="1" applyFont="1" applyFill="1" applyBorder="1" applyAlignment="1">
      <alignment horizontal="center" vertical="center"/>
    </xf>
    <xf numFmtId="168" fontId="8" fillId="6" borderId="7" xfId="0" applyNumberFormat="1" applyFont="1" applyFill="1" applyBorder="1" applyAlignment="1">
      <alignment horizontal="center" vertical="center"/>
    </xf>
    <xf numFmtId="168" fontId="8" fillId="6" borderId="28" xfId="0" applyNumberFormat="1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169" fontId="10" fillId="0" borderId="30" xfId="1" applyNumberFormat="1" applyFont="1" applyBorder="1" applyAlignment="1">
      <alignment horizontal="center" vertical="center"/>
    </xf>
    <xf numFmtId="169" fontId="5" fillId="0" borderId="30" xfId="1" applyNumberFormat="1" applyFont="1" applyBorder="1" applyAlignment="1">
      <alignment horizontal="center" vertical="center"/>
    </xf>
    <xf numFmtId="169" fontId="5" fillId="0" borderId="31" xfId="1" applyNumberFormat="1" applyFont="1" applyBorder="1" applyAlignment="1">
      <alignment horizontal="center" vertical="center"/>
    </xf>
    <xf numFmtId="170" fontId="16" fillId="5" borderId="6" xfId="1" applyNumberFormat="1" applyFont="1" applyFill="1" applyBorder="1" applyAlignment="1">
      <alignment horizontal="center" vertical="center"/>
    </xf>
    <xf numFmtId="170" fontId="16" fillId="5" borderId="36" xfId="1" applyNumberFormat="1" applyFont="1" applyFill="1" applyBorder="1" applyAlignment="1">
      <alignment horizontal="center" vertical="center"/>
    </xf>
    <xf numFmtId="170" fontId="16" fillId="5" borderId="35" xfId="1" applyNumberFormat="1" applyFont="1" applyFill="1" applyBorder="1" applyAlignment="1">
      <alignment horizontal="center" vertical="center"/>
    </xf>
    <xf numFmtId="173" fontId="0" fillId="0" borderId="5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5" fillId="5" borderId="19" xfId="0" applyFont="1" applyFill="1" applyBorder="1" applyAlignment="1">
      <alignment horizontal="center" vertical="center"/>
    </xf>
    <xf numFmtId="0" fontId="36" fillId="0" borderId="13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/>
    </xf>
    <xf numFmtId="169" fontId="15" fillId="5" borderId="7" xfId="1" applyNumberFormat="1" applyFont="1" applyFill="1" applyBorder="1" applyAlignment="1">
      <alignment horizontal="center" vertical="center"/>
    </xf>
    <xf numFmtId="169" fontId="15" fillId="5" borderId="27" xfId="1" applyNumberFormat="1" applyFont="1" applyFill="1" applyBorder="1" applyAlignment="1">
      <alignment horizontal="center" vertical="center"/>
    </xf>
    <xf numFmtId="169" fontId="15" fillId="5" borderId="28" xfId="1" applyNumberFormat="1" applyFont="1" applyFill="1" applyBorder="1" applyAlignment="1">
      <alignment horizontal="center" vertical="center"/>
    </xf>
    <xf numFmtId="169" fontId="9" fillId="5" borderId="27" xfId="1" applyNumberFormat="1" applyFont="1" applyFill="1" applyBorder="1" applyAlignment="1">
      <alignment horizontal="center" vertical="center"/>
    </xf>
    <xf numFmtId="169" fontId="9" fillId="5" borderId="7" xfId="1" applyNumberFormat="1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169" fontId="9" fillId="5" borderId="6" xfId="1" applyNumberFormat="1" applyFont="1" applyFill="1" applyBorder="1" applyAlignment="1">
      <alignment horizontal="center" vertical="center"/>
    </xf>
    <xf numFmtId="169" fontId="9" fillId="5" borderId="36" xfId="1" applyNumberFormat="1" applyFont="1" applyFill="1" applyBorder="1" applyAlignment="1">
      <alignment horizontal="center" vertical="center"/>
    </xf>
    <xf numFmtId="169" fontId="9" fillId="5" borderId="35" xfId="1" applyNumberFormat="1" applyFont="1" applyFill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169" fontId="11" fillId="0" borderId="30" xfId="1" applyNumberFormat="1" applyFont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169" fontId="12" fillId="5" borderId="6" xfId="1" applyNumberFormat="1" applyFont="1" applyFill="1" applyBorder="1" applyAlignment="1">
      <alignment horizontal="center" vertical="center"/>
    </xf>
    <xf numFmtId="169" fontId="12" fillId="5" borderId="36" xfId="1" applyNumberFormat="1" applyFont="1" applyFill="1" applyBorder="1" applyAlignment="1">
      <alignment horizontal="center" vertical="center"/>
    </xf>
    <xf numFmtId="169" fontId="12" fillId="5" borderId="35" xfId="1" applyNumberFormat="1" applyFont="1" applyFill="1" applyBorder="1" applyAlignment="1">
      <alignment horizontal="center" vertical="center"/>
    </xf>
    <xf numFmtId="0" fontId="39" fillId="0" borderId="0" xfId="0" applyFont="1"/>
    <xf numFmtId="0" fontId="40" fillId="0" borderId="13" xfId="0" applyFont="1" applyBorder="1" applyAlignment="1">
      <alignment horizontal="center"/>
    </xf>
    <xf numFmtId="0" fontId="40" fillId="0" borderId="0" xfId="0" applyFont="1" applyAlignment="1">
      <alignment horizontal="center"/>
    </xf>
    <xf numFmtId="0" fontId="40" fillId="5" borderId="5" xfId="0" applyFont="1" applyFill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0" fillId="12" borderId="5" xfId="0" applyFont="1" applyFill="1" applyBorder="1" applyAlignment="1">
      <alignment horizontal="center" vertical="center"/>
    </xf>
    <xf numFmtId="0" fontId="40" fillId="13" borderId="5" xfId="0" applyFont="1" applyFill="1" applyBorder="1" applyAlignment="1">
      <alignment horizontal="center" vertical="center"/>
    </xf>
    <xf numFmtId="0" fontId="39" fillId="0" borderId="0" xfId="0" applyFont="1" applyAlignment="1">
      <alignment horizontal="right"/>
    </xf>
    <xf numFmtId="16" fontId="41" fillId="0" borderId="5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41" fillId="0" borderId="15" xfId="0" applyFont="1" applyBorder="1" applyAlignment="1">
      <alignment horizontal="center" vertical="center"/>
    </xf>
    <xf numFmtId="16" fontId="41" fillId="0" borderId="15" xfId="0" applyNumberFormat="1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5" borderId="5" xfId="0" applyFont="1" applyFill="1" applyBorder="1" applyAlignment="1">
      <alignment horizontal="center" vertical="center" wrapText="1"/>
    </xf>
    <xf numFmtId="0" fontId="40" fillId="5" borderId="42" xfId="0" applyFont="1" applyFill="1" applyBorder="1" applyAlignment="1">
      <alignment horizontal="center" vertical="center" wrapText="1"/>
    </xf>
    <xf numFmtId="0" fontId="43" fillId="5" borderId="5" xfId="0" applyFont="1" applyFill="1" applyBorder="1" applyAlignment="1">
      <alignment horizontal="center" vertical="center" wrapText="1"/>
    </xf>
    <xf numFmtId="0" fontId="40" fillId="5" borderId="14" xfId="0" applyFont="1" applyFill="1" applyBorder="1" applyAlignment="1">
      <alignment horizontal="center" vertical="center" wrapText="1"/>
    </xf>
    <xf numFmtId="16" fontId="41" fillId="0" borderId="14" xfId="0" applyNumberFormat="1" applyFont="1" applyBorder="1" applyAlignment="1">
      <alignment horizontal="center" vertical="center"/>
    </xf>
    <xf numFmtId="16" fontId="41" fillId="0" borderId="16" xfId="0" applyNumberFormat="1" applyFont="1" applyBorder="1" applyAlignment="1">
      <alignment horizontal="center" vertical="center"/>
    </xf>
    <xf numFmtId="0" fontId="41" fillId="0" borderId="16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16" fontId="40" fillId="7" borderId="43" xfId="0" applyNumberFormat="1" applyFont="1" applyFill="1" applyBorder="1" applyAlignment="1">
      <alignment horizontal="center" vertical="center"/>
    </xf>
    <xf numFmtId="0" fontId="40" fillId="7" borderId="43" xfId="0" applyFont="1" applyFill="1" applyBorder="1" applyAlignment="1">
      <alignment horizontal="center" vertical="center"/>
    </xf>
    <xf numFmtId="16" fontId="40" fillId="7" borderId="26" xfId="0" applyNumberFormat="1" applyFont="1" applyFill="1" applyBorder="1" applyAlignment="1">
      <alignment horizontal="center" vertical="center"/>
    </xf>
    <xf numFmtId="0" fontId="40" fillId="7" borderId="26" xfId="0" applyFont="1" applyFill="1" applyBorder="1" applyAlignment="1">
      <alignment horizontal="center" vertical="center"/>
    </xf>
    <xf numFmtId="0" fontId="40" fillId="12" borderId="15" xfId="0" applyFont="1" applyFill="1" applyBorder="1" applyAlignment="1">
      <alignment horizontal="center" vertical="center"/>
    </xf>
    <xf numFmtId="0" fontId="40" fillId="13" borderId="15" xfId="0" applyFont="1" applyFill="1" applyBorder="1" applyAlignment="1">
      <alignment horizontal="center" vertical="center"/>
    </xf>
    <xf numFmtId="16" fontId="40" fillId="17" borderId="43" xfId="0" applyNumberFormat="1" applyFont="1" applyFill="1" applyBorder="1" applyAlignment="1">
      <alignment horizontal="center" vertical="center"/>
    </xf>
    <xf numFmtId="0" fontId="40" fillId="17" borderId="43" xfId="0" applyFont="1" applyFill="1" applyBorder="1" applyAlignment="1">
      <alignment horizontal="center" vertical="center"/>
    </xf>
    <xf numFmtId="0" fontId="40" fillId="7" borderId="44" xfId="0" applyFont="1" applyFill="1" applyBorder="1" applyAlignment="1">
      <alignment horizontal="center" vertical="center"/>
    </xf>
    <xf numFmtId="0" fontId="40" fillId="7" borderId="45" xfId="0" applyFont="1" applyFill="1" applyBorder="1" applyAlignment="1">
      <alignment horizontal="center" vertical="center"/>
    </xf>
    <xf numFmtId="0" fontId="40" fillId="7" borderId="46" xfId="0" applyFont="1" applyFill="1" applyBorder="1" applyAlignment="1">
      <alignment horizontal="center" vertical="center"/>
    </xf>
    <xf numFmtId="0" fontId="40" fillId="7" borderId="47" xfId="0" applyFont="1" applyFill="1" applyBorder="1" applyAlignment="1">
      <alignment horizontal="center" vertical="center"/>
    </xf>
    <xf numFmtId="0" fontId="40" fillId="12" borderId="14" xfId="0" applyFont="1" applyFill="1" applyBorder="1" applyAlignment="1">
      <alignment horizontal="center" vertical="center"/>
    </xf>
    <xf numFmtId="0" fontId="40" fillId="13" borderId="14" xfId="0" applyFont="1" applyFill="1" applyBorder="1" applyAlignment="1">
      <alignment horizontal="center" vertical="center"/>
    </xf>
    <xf numFmtId="0" fontId="40" fillId="7" borderId="48" xfId="0" applyFont="1" applyFill="1" applyBorder="1" applyAlignment="1">
      <alignment horizontal="center" vertical="center"/>
    </xf>
    <xf numFmtId="0" fontId="40" fillId="0" borderId="14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16" fontId="43" fillId="17" borderId="43" xfId="0" applyNumberFormat="1" applyFont="1" applyFill="1" applyBorder="1" applyAlignment="1">
      <alignment horizontal="center" vertical="center"/>
    </xf>
    <xf numFmtId="0" fontId="43" fillId="17" borderId="43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37" fillId="0" borderId="0" xfId="0" applyFont="1"/>
    <xf numFmtId="0" fontId="44" fillId="5" borderId="42" xfId="0" applyFont="1" applyFill="1" applyBorder="1" applyAlignment="1">
      <alignment horizontal="center" vertical="center" wrapText="1"/>
    </xf>
    <xf numFmtId="0" fontId="46" fillId="5" borderId="14" xfId="0" applyFont="1" applyFill="1" applyBorder="1" applyAlignment="1">
      <alignment horizontal="center" vertical="center" wrapText="1"/>
    </xf>
    <xf numFmtId="0" fontId="44" fillId="5" borderId="14" xfId="0" applyFont="1" applyFill="1" applyBorder="1" applyAlignment="1">
      <alignment horizontal="center" vertical="center" wrapText="1"/>
    </xf>
    <xf numFmtId="0" fontId="45" fillId="5" borderId="14" xfId="0" applyFont="1" applyFill="1" applyBorder="1" applyAlignment="1">
      <alignment horizontal="center" vertical="center" wrapText="1"/>
    </xf>
    <xf numFmtId="0" fontId="3" fillId="17" borderId="14" xfId="0" applyFont="1" applyFill="1" applyBorder="1" applyAlignment="1">
      <alignment horizontal="center" vertical="center"/>
    </xf>
    <xf numFmtId="173" fontId="3" fillId="17" borderId="14" xfId="0" applyNumberFormat="1" applyFont="1" applyFill="1" applyBorder="1" applyAlignment="1">
      <alignment horizontal="center" vertical="center"/>
    </xf>
    <xf numFmtId="173" fontId="3" fillId="0" borderId="15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73" fontId="3" fillId="0" borderId="20" xfId="0" applyNumberFormat="1" applyFont="1" applyBorder="1" applyAlignment="1">
      <alignment horizontal="center" vertical="center"/>
    </xf>
    <xf numFmtId="173" fontId="3" fillId="0" borderId="25" xfId="0" applyNumberFormat="1" applyFont="1" applyBorder="1" applyAlignment="1">
      <alignment horizontal="center" vertical="center"/>
    </xf>
    <xf numFmtId="173" fontId="3" fillId="0" borderId="53" xfId="0" applyNumberFormat="1" applyFont="1" applyBorder="1" applyAlignment="1">
      <alignment horizontal="center" vertical="center"/>
    </xf>
    <xf numFmtId="173" fontId="3" fillId="15" borderId="53" xfId="0" applyNumberFormat="1" applyFont="1" applyFill="1" applyBorder="1" applyAlignment="1">
      <alignment horizontal="center" vertical="center"/>
    </xf>
    <xf numFmtId="0" fontId="3" fillId="17" borderId="55" xfId="0" applyFont="1" applyFill="1" applyBorder="1" applyAlignment="1">
      <alignment horizontal="center" vertical="center"/>
    </xf>
    <xf numFmtId="173" fontId="3" fillId="17" borderId="55" xfId="0" applyNumberFormat="1" applyFont="1" applyFill="1" applyBorder="1" applyAlignment="1">
      <alignment horizontal="center" vertical="center"/>
    </xf>
    <xf numFmtId="173" fontId="3" fillId="17" borderId="59" xfId="0" applyNumberFormat="1" applyFont="1" applyFill="1" applyBorder="1" applyAlignment="1">
      <alignment horizontal="center" vertical="center"/>
    </xf>
    <xf numFmtId="173" fontId="3" fillId="0" borderId="61" xfId="0" applyNumberFormat="1" applyFont="1" applyBorder="1" applyAlignment="1">
      <alignment horizontal="center" vertical="center"/>
    </xf>
    <xf numFmtId="173" fontId="3" fillId="17" borderId="62" xfId="0" applyNumberFormat="1" applyFont="1" applyFill="1" applyBorder="1" applyAlignment="1">
      <alignment horizontal="center" vertical="center"/>
    </xf>
    <xf numFmtId="173" fontId="8" fillId="18" borderId="60" xfId="0" applyNumberFormat="1" applyFont="1" applyFill="1" applyBorder="1" applyAlignment="1">
      <alignment horizontal="center" vertical="center"/>
    </xf>
    <xf numFmtId="173" fontId="8" fillId="18" borderId="65" xfId="0" applyNumberFormat="1" applyFont="1" applyFill="1" applyBorder="1" applyAlignment="1">
      <alignment horizontal="center" vertical="center"/>
    </xf>
    <xf numFmtId="173" fontId="8" fillId="18" borderId="45" xfId="0" applyNumberFormat="1" applyFont="1" applyFill="1" applyBorder="1" applyAlignment="1">
      <alignment horizontal="center" vertical="center"/>
    </xf>
    <xf numFmtId="173" fontId="8" fillId="18" borderId="46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43" fillId="5" borderId="3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0" fillId="0" borderId="68" xfId="0" applyBorder="1" applyAlignment="1">
      <alignment horizontal="left" vertical="center"/>
    </xf>
    <xf numFmtId="0" fontId="0" fillId="0" borderId="68" xfId="0" applyBorder="1"/>
    <xf numFmtId="0" fontId="3" fillId="12" borderId="68" xfId="0" applyFont="1" applyFill="1" applyBorder="1" applyAlignment="1">
      <alignment horizontal="center" vertical="center"/>
    </xf>
    <xf numFmtId="0" fontId="0" fillId="0" borderId="70" xfId="0" applyBorder="1" applyAlignment="1">
      <alignment horizontal="left" vertical="center"/>
    </xf>
    <xf numFmtId="0" fontId="0" fillId="0" borderId="70" xfId="0" applyBorder="1"/>
    <xf numFmtId="0" fontId="3" fillId="12" borderId="70" xfId="0" applyFont="1" applyFill="1" applyBorder="1" applyAlignment="1">
      <alignment horizontal="center" vertical="center"/>
    </xf>
    <xf numFmtId="169" fontId="5" fillId="7" borderId="71" xfId="1" applyNumberFormat="1" applyFont="1" applyFill="1" applyBorder="1" applyAlignment="1">
      <alignment horizontal="center" vertical="center"/>
    </xf>
    <xf numFmtId="169" fontId="5" fillId="7" borderId="72" xfId="1" applyNumberFormat="1" applyFont="1" applyFill="1" applyBorder="1" applyAlignment="1">
      <alignment horizontal="center" vertical="center"/>
    </xf>
    <xf numFmtId="169" fontId="5" fillId="7" borderId="73" xfId="1" applyNumberFormat="1" applyFont="1" applyFill="1" applyBorder="1" applyAlignment="1">
      <alignment horizontal="center" vertical="center"/>
    </xf>
    <xf numFmtId="169" fontId="5" fillId="7" borderId="74" xfId="1" applyNumberFormat="1" applyFont="1" applyFill="1" applyBorder="1" applyAlignment="1">
      <alignment horizontal="center" vertical="center"/>
    </xf>
    <xf numFmtId="169" fontId="5" fillId="7" borderId="75" xfId="1" applyNumberFormat="1" applyFont="1" applyFill="1" applyBorder="1" applyAlignment="1">
      <alignment horizontal="center" vertical="center"/>
    </xf>
    <xf numFmtId="10" fontId="5" fillId="7" borderId="32" xfId="391" applyNumberFormat="1" applyFont="1" applyFill="1" applyBorder="1" applyAlignment="1">
      <alignment horizontal="center" vertical="center"/>
    </xf>
    <xf numFmtId="10" fontId="5" fillId="7" borderId="39" xfId="391" applyNumberFormat="1" applyFont="1" applyFill="1" applyBorder="1" applyAlignment="1">
      <alignment horizontal="center" vertical="center"/>
    </xf>
    <xf numFmtId="10" fontId="5" fillId="7" borderId="37" xfId="391" applyNumberFormat="1" applyFont="1" applyFill="1" applyBorder="1" applyAlignment="1">
      <alignment horizontal="center" vertical="center"/>
    </xf>
    <xf numFmtId="10" fontId="5" fillId="7" borderId="38" xfId="391" applyNumberFormat="1" applyFont="1" applyFill="1" applyBorder="1" applyAlignment="1">
      <alignment horizontal="center" vertical="center"/>
    </xf>
    <xf numFmtId="168" fontId="8" fillId="6" borderId="36" xfId="0" applyNumberFormat="1" applyFont="1" applyFill="1" applyBorder="1" applyAlignment="1">
      <alignment horizontal="center" vertical="center"/>
    </xf>
    <xf numFmtId="168" fontId="8" fillId="6" borderId="6" xfId="0" applyNumberFormat="1" applyFont="1" applyFill="1" applyBorder="1" applyAlignment="1">
      <alignment horizontal="center" vertical="center"/>
    </xf>
    <xf numFmtId="10" fontId="5" fillId="13" borderId="32" xfId="391" applyNumberFormat="1" applyFont="1" applyFill="1" applyBorder="1" applyAlignment="1">
      <alignment horizontal="center" vertical="center"/>
    </xf>
    <xf numFmtId="10" fontId="5" fillId="13" borderId="39" xfId="391" applyNumberFormat="1" applyFont="1" applyFill="1" applyBorder="1" applyAlignment="1">
      <alignment horizontal="center" vertical="center"/>
    </xf>
    <xf numFmtId="10" fontId="5" fillId="13" borderId="37" xfId="391" applyNumberFormat="1" applyFont="1" applyFill="1" applyBorder="1" applyAlignment="1">
      <alignment horizontal="center" vertical="center"/>
    </xf>
    <xf numFmtId="10" fontId="5" fillId="13" borderId="38" xfId="391" applyNumberFormat="1" applyFont="1" applyFill="1" applyBorder="1" applyAlignment="1">
      <alignment horizontal="center" vertical="center"/>
    </xf>
    <xf numFmtId="169" fontId="5" fillId="13" borderId="31" xfId="1" applyNumberFormat="1" applyFont="1" applyFill="1" applyBorder="1" applyAlignment="1">
      <alignment horizontal="center" vertical="center"/>
    </xf>
    <xf numFmtId="169" fontId="5" fillId="13" borderId="24" xfId="1" applyNumberFormat="1" applyFont="1" applyFill="1" applyBorder="1" applyAlignment="1">
      <alignment horizontal="center" vertical="center"/>
    </xf>
    <xf numFmtId="169" fontId="5" fillId="13" borderId="23" xfId="1" applyNumberFormat="1" applyFont="1" applyFill="1" applyBorder="1" applyAlignment="1">
      <alignment horizontal="center" vertical="center"/>
    </xf>
    <xf numFmtId="169" fontId="5" fillId="13" borderId="84" xfId="1" applyNumberFormat="1" applyFont="1" applyFill="1" applyBorder="1" applyAlignment="1">
      <alignment horizontal="center" vertical="center"/>
    </xf>
    <xf numFmtId="175" fontId="5" fillId="0" borderId="0" xfId="0" applyNumberFormat="1" applyFont="1" applyAlignment="1">
      <alignment horizontal="center" vertical="center"/>
    </xf>
    <xf numFmtId="0" fontId="0" fillId="0" borderId="15" xfId="0" applyBorder="1" applyAlignment="1">
      <alignment horizontal="center"/>
    </xf>
    <xf numFmtId="173" fontId="0" fillId="0" borderId="15" xfId="0" applyNumberFormat="1" applyBorder="1" applyAlignment="1">
      <alignment horizontal="center"/>
    </xf>
    <xf numFmtId="0" fontId="7" fillId="4" borderId="86" xfId="0" applyFont="1" applyFill="1" applyBorder="1" applyAlignment="1">
      <alignment vertical="center"/>
    </xf>
    <xf numFmtId="0" fontId="39" fillId="0" borderId="5" xfId="0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/>
    </xf>
    <xf numFmtId="1" fontId="0" fillId="0" borderId="15" xfId="0" applyNumberFormat="1" applyBorder="1" applyAlignment="1">
      <alignment horizontal="center"/>
    </xf>
    <xf numFmtId="173" fontId="0" fillId="0" borderId="70" xfId="0" applyNumberFormat="1" applyBorder="1" applyAlignment="1">
      <alignment horizontal="center"/>
    </xf>
    <xf numFmtId="0" fontId="0" fillId="0" borderId="70" xfId="0" applyBorder="1" applyAlignment="1">
      <alignment horizontal="center"/>
    </xf>
    <xf numFmtId="173" fontId="0" fillId="0" borderId="70" xfId="0" applyNumberFormat="1" applyBorder="1"/>
    <xf numFmtId="0" fontId="40" fillId="7" borderId="89" xfId="0" applyFont="1" applyFill="1" applyBorder="1" applyAlignment="1">
      <alignment horizontal="center" vertical="center"/>
    </xf>
    <xf numFmtId="173" fontId="0" fillId="0" borderId="68" xfId="0" applyNumberFormat="1" applyBorder="1"/>
    <xf numFmtId="0" fontId="0" fillId="0" borderId="0" xfId="0" applyAlignment="1">
      <alignment vertical="center"/>
    </xf>
    <xf numFmtId="16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" fontId="0" fillId="0" borderId="0" xfId="0" applyNumberFormat="1"/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7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6" borderId="0" xfId="0" applyFill="1" applyAlignment="1">
      <alignment horizontal="center"/>
    </xf>
    <xf numFmtId="173" fontId="0" fillId="6" borderId="0" xfId="0" applyNumberFormat="1" applyFill="1" applyAlignment="1">
      <alignment horizontal="center"/>
    </xf>
    <xf numFmtId="173" fontId="0" fillId="0" borderId="0" xfId="0" applyNumberFormat="1"/>
    <xf numFmtId="173" fontId="0" fillId="0" borderId="0" xfId="0" applyNumberFormat="1" applyAlignment="1">
      <alignment vertical="center"/>
    </xf>
    <xf numFmtId="0" fontId="37" fillId="0" borderId="0" xfId="0" applyFont="1" applyAlignment="1">
      <alignment vertical="center"/>
    </xf>
    <xf numFmtId="169" fontId="9" fillId="5" borderId="92" xfId="1" applyNumberFormat="1" applyFont="1" applyFill="1" applyBorder="1" applyAlignment="1">
      <alignment horizontal="center" vertical="center"/>
    </xf>
    <xf numFmtId="169" fontId="14" fillId="0" borderId="91" xfId="1" applyNumberFormat="1" applyFont="1" applyBorder="1" applyAlignment="1">
      <alignment horizontal="center" vertical="center"/>
    </xf>
    <xf numFmtId="169" fontId="12" fillId="5" borderId="92" xfId="1" applyNumberFormat="1" applyFont="1" applyFill="1" applyBorder="1" applyAlignment="1">
      <alignment horizontal="center" vertical="center"/>
    </xf>
    <xf numFmtId="0" fontId="40" fillId="13" borderId="16" xfId="0" applyFont="1" applyFill="1" applyBorder="1" applyAlignment="1">
      <alignment vertical="center"/>
    </xf>
    <xf numFmtId="0" fontId="40" fillId="13" borderId="85" xfId="0" applyFont="1" applyFill="1" applyBorder="1" applyAlignment="1">
      <alignment vertical="center"/>
    </xf>
    <xf numFmtId="0" fontId="40" fillId="12" borderId="2" xfId="0" applyFont="1" applyFill="1" applyBorder="1" applyAlignment="1">
      <alignment horizontal="center" vertical="center"/>
    </xf>
    <xf numFmtId="0" fontId="0" fillId="0" borderId="16" xfId="0" applyBorder="1"/>
    <xf numFmtId="16" fontId="0" fillId="0" borderId="16" xfId="0" applyNumberFormat="1" applyBorder="1" applyAlignment="1">
      <alignment vertical="center"/>
    </xf>
    <xf numFmtId="0" fontId="0" fillId="0" borderId="16" xfId="0" applyBorder="1" applyAlignment="1">
      <alignment vertical="center"/>
    </xf>
    <xf numFmtId="16" fontId="0" fillId="0" borderId="69" xfId="0" applyNumberFormat="1" applyBorder="1" applyAlignment="1">
      <alignment vertical="center"/>
    </xf>
    <xf numFmtId="0" fontId="0" fillId="0" borderId="69" xfId="0" applyBorder="1" applyAlignment="1">
      <alignment vertical="center"/>
    </xf>
    <xf numFmtId="0" fontId="40" fillId="13" borderId="67" xfId="0" applyFont="1" applyFill="1" applyBorder="1" applyAlignment="1">
      <alignment vertical="center"/>
    </xf>
    <xf numFmtId="0" fontId="0" fillId="0" borderId="94" xfId="0" applyBorder="1"/>
    <xf numFmtId="0" fontId="0" fillId="0" borderId="90" xfId="0" applyBorder="1"/>
    <xf numFmtId="0" fontId="0" fillId="0" borderId="69" xfId="0" applyBorder="1"/>
    <xf numFmtId="0" fontId="3" fillId="12" borderId="69" xfId="0" applyFont="1" applyFill="1" applyBorder="1" applyAlignment="1">
      <alignment horizontal="center" vertical="center"/>
    </xf>
    <xf numFmtId="0" fontId="3" fillId="12" borderId="93" xfId="0" applyFont="1" applyFill="1" applyBorder="1" applyAlignment="1">
      <alignment horizontal="center" vertical="center"/>
    </xf>
    <xf numFmtId="0" fontId="3" fillId="13" borderId="93" xfId="0" applyFont="1" applyFill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173" fontId="0" fillId="0" borderId="69" xfId="0" applyNumberFormat="1" applyBorder="1"/>
    <xf numFmtId="0" fontId="0" fillId="19" borderId="5" xfId="0" applyFill="1" applyBorder="1" applyAlignment="1">
      <alignment horizontal="center" vertical="center" wrapText="1"/>
    </xf>
    <xf numFmtId="0" fontId="47" fillId="0" borderId="5" xfId="0" applyFont="1" applyBorder="1" applyAlignment="1">
      <alignment horizontal="center" vertical="center"/>
    </xf>
    <xf numFmtId="0" fontId="41" fillId="19" borderId="5" xfId="0" applyFont="1" applyFill="1" applyBorder="1" applyAlignment="1">
      <alignment horizontal="center" vertical="center" wrapText="1"/>
    </xf>
    <xf numFmtId="0" fontId="48" fillId="0" borderId="5" xfId="0" applyFont="1" applyBorder="1" applyAlignment="1">
      <alignment horizontal="center" vertical="center"/>
    </xf>
    <xf numFmtId="0" fontId="48" fillId="0" borderId="5" xfId="0" applyFont="1" applyBorder="1" applyAlignment="1">
      <alignment horizontal="center" vertical="center" wrapText="1"/>
    </xf>
    <xf numFmtId="0" fontId="40" fillId="13" borderId="15" xfId="0" applyFont="1" applyFill="1" applyBorder="1" applyAlignment="1">
      <alignment vertical="center"/>
    </xf>
    <xf numFmtId="0" fontId="0" fillId="0" borderId="5" xfId="0" applyBorder="1" applyAlignment="1">
      <alignment horizontal="center"/>
    </xf>
    <xf numFmtId="0" fontId="3" fillId="12" borderId="100" xfId="0" applyFont="1" applyFill="1" applyBorder="1" applyAlignment="1">
      <alignment horizontal="center" vertical="center"/>
    </xf>
    <xf numFmtId="173" fontId="3" fillId="12" borderId="15" xfId="0" applyNumberFormat="1" applyFont="1" applyFill="1" applyBorder="1" applyAlignment="1">
      <alignment horizontal="center" vertical="center"/>
    </xf>
    <xf numFmtId="0" fontId="41" fillId="0" borderId="15" xfId="0" applyFont="1" applyBorder="1" applyAlignment="1">
      <alignment horizontal="center" vertical="center" wrapText="1"/>
    </xf>
    <xf numFmtId="0" fontId="41" fillId="0" borderId="5" xfId="0" applyFont="1" applyBorder="1" applyAlignment="1">
      <alignment horizontal="center" vertical="center" wrapText="1"/>
    </xf>
    <xf numFmtId="0" fontId="40" fillId="13" borderId="101" xfId="0" applyFont="1" applyFill="1" applyBorder="1" applyAlignment="1">
      <alignment horizontal="center" vertical="center"/>
    </xf>
    <xf numFmtId="16" fontId="0" fillId="0" borderId="16" xfId="0" applyNumberFormat="1" applyBorder="1" applyAlignment="1">
      <alignment vertical="top"/>
    </xf>
    <xf numFmtId="16" fontId="0" fillId="0" borderId="15" xfId="0" applyNumberFormat="1" applyBorder="1" applyAlignment="1">
      <alignment vertical="top"/>
    </xf>
    <xf numFmtId="16" fontId="0" fillId="0" borderId="69" xfId="0" applyNumberFormat="1" applyBorder="1" applyAlignment="1">
      <alignment vertical="top"/>
    </xf>
    <xf numFmtId="0" fontId="3" fillId="13" borderId="16" xfId="0" applyFont="1" applyFill="1" applyBorder="1" applyAlignment="1">
      <alignment vertical="center"/>
    </xf>
    <xf numFmtId="0" fontId="0" fillId="0" borderId="15" xfId="0" applyBorder="1" applyAlignment="1">
      <alignment horizontal="center" vertical="center"/>
    </xf>
    <xf numFmtId="16" fontId="0" fillId="0" borderId="16" xfId="0" applyNumberFormat="1" applyBorder="1" applyAlignment="1">
      <alignment horizontal="center" vertical="top"/>
    </xf>
    <xf numFmtId="0" fontId="3" fillId="13" borderId="69" xfId="0" applyFont="1" applyFill="1" applyBorder="1" applyAlignment="1">
      <alignment vertical="center"/>
    </xf>
    <xf numFmtId="169" fontId="5" fillId="7" borderId="102" xfId="1" applyNumberFormat="1" applyFont="1" applyFill="1" applyBorder="1" applyAlignment="1">
      <alignment horizontal="center" vertical="center"/>
    </xf>
    <xf numFmtId="169" fontId="5" fillId="7" borderId="103" xfId="1" applyNumberFormat="1" applyFont="1" applyFill="1" applyBorder="1" applyAlignment="1">
      <alignment horizontal="center" vertical="center"/>
    </xf>
    <xf numFmtId="169" fontId="5" fillId="7" borderId="104" xfId="1" applyNumberFormat="1" applyFont="1" applyFill="1" applyBorder="1" applyAlignment="1">
      <alignment horizontal="center" vertical="center"/>
    </xf>
    <xf numFmtId="169" fontId="5" fillId="7" borderId="105" xfId="1" applyNumberFormat="1" applyFont="1" applyFill="1" applyBorder="1" applyAlignment="1">
      <alignment horizontal="center" vertical="center"/>
    </xf>
    <xf numFmtId="0" fontId="40" fillId="13" borderId="69" xfId="0" applyFont="1" applyFill="1" applyBorder="1" applyAlignment="1">
      <alignment vertical="center"/>
    </xf>
    <xf numFmtId="0" fontId="40" fillId="13" borderId="60" xfId="0" applyFont="1" applyFill="1" applyBorder="1" applyAlignment="1">
      <alignment vertical="center"/>
    </xf>
    <xf numFmtId="0" fontId="48" fillId="6" borderId="5" xfId="0" applyFont="1" applyFill="1" applyBorder="1" applyAlignment="1">
      <alignment horizontal="center" vertical="center"/>
    </xf>
    <xf numFmtId="0" fontId="3" fillId="12" borderId="13" xfId="0" applyFont="1" applyFill="1" applyBorder="1" applyAlignment="1">
      <alignment horizontal="center" vertical="center"/>
    </xf>
    <xf numFmtId="0" fontId="53" fillId="0" borderId="96" xfId="0" applyFont="1" applyBorder="1" applyAlignment="1">
      <alignment vertical="center" wrapText="1"/>
    </xf>
    <xf numFmtId="0" fontId="53" fillId="0" borderId="95" xfId="0" applyFont="1" applyBorder="1" applyAlignment="1">
      <alignment vertical="center" wrapText="1"/>
    </xf>
    <xf numFmtId="0" fontId="0" fillId="0" borderId="70" xfId="0" applyBorder="1" applyAlignment="1">
      <alignment vertical="center"/>
    </xf>
    <xf numFmtId="173" fontId="3" fillId="12" borderId="5" xfId="0" applyNumberFormat="1" applyFont="1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16" xfId="0" applyBorder="1" applyAlignment="1">
      <alignment horizontal="center" vertical="top"/>
    </xf>
    <xf numFmtId="1" fontId="0" fillId="0" borderId="15" xfId="0" applyNumberFormat="1" applyBorder="1"/>
    <xf numFmtId="173" fontId="3" fillId="12" borderId="69" xfId="0" applyNumberFormat="1" applyFont="1" applyFill="1" applyBorder="1" applyAlignment="1">
      <alignment horizontal="center" vertical="center"/>
    </xf>
    <xf numFmtId="169" fontId="5" fillId="7" borderId="106" xfId="1" applyNumberFormat="1" applyFont="1" applyFill="1" applyBorder="1" applyAlignment="1">
      <alignment horizontal="center" vertical="center"/>
    </xf>
    <xf numFmtId="0" fontId="3" fillId="12" borderId="90" xfId="0" applyFont="1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16" fontId="0" fillId="0" borderId="16" xfId="0" applyNumberFormat="1" applyBorder="1" applyAlignment="1">
      <alignment horizontal="center" vertical="center"/>
    </xf>
    <xf numFmtId="0" fontId="3" fillId="12" borderId="108" xfId="0" applyFont="1" applyFill="1" applyBorder="1" applyAlignment="1">
      <alignment horizontal="center" vertical="center"/>
    </xf>
    <xf numFmtId="16" fontId="0" fillId="0" borderId="67" xfId="0" applyNumberFormat="1" applyBorder="1" applyAlignment="1">
      <alignment horizontal="center" vertical="center"/>
    </xf>
    <xf numFmtId="0" fontId="0" fillId="0" borderId="69" xfId="0" applyBorder="1" applyAlignment="1">
      <alignment horizontal="left" vertical="center"/>
    </xf>
    <xf numFmtId="16" fontId="0" fillId="0" borderId="94" xfId="0" applyNumberFormat="1" applyBorder="1" applyAlignment="1">
      <alignment vertical="center"/>
    </xf>
    <xf numFmtId="0" fontId="0" fillId="0" borderId="67" xfId="0" applyBorder="1" applyAlignment="1">
      <alignment horizontal="center" vertical="center"/>
    </xf>
    <xf numFmtId="16" fontId="0" fillId="0" borderId="69" xfId="0" applyNumberFormat="1" applyBorder="1" applyAlignment="1">
      <alignment horizontal="center" vertical="center"/>
    </xf>
    <xf numFmtId="16" fontId="0" fillId="0" borderId="67" xfId="0" applyNumberFormat="1" applyBorder="1" applyAlignment="1">
      <alignment horizontal="center" vertical="top"/>
    </xf>
    <xf numFmtId="0" fontId="0" fillId="0" borderId="68" xfId="0" applyBorder="1" applyAlignment="1">
      <alignment vertical="center"/>
    </xf>
    <xf numFmtId="173" fontId="3" fillId="12" borderId="70" xfId="0" applyNumberFormat="1" applyFont="1" applyFill="1" applyBorder="1" applyAlignment="1">
      <alignment horizontal="center" vertical="center"/>
    </xf>
    <xf numFmtId="16" fontId="0" fillId="0" borderId="94" xfId="0" applyNumberFormat="1" applyBorder="1" applyAlignment="1">
      <alignment horizontal="center" vertical="center"/>
    </xf>
    <xf numFmtId="0" fontId="39" fillId="6" borderId="0" xfId="0" applyFont="1" applyFill="1" applyAlignment="1">
      <alignment horizontal="right"/>
    </xf>
    <xf numFmtId="0" fontId="39" fillId="6" borderId="0" xfId="0" applyFont="1" applyFill="1"/>
    <xf numFmtId="0" fontId="54" fillId="6" borderId="0" xfId="0" applyFont="1" applyFill="1" applyAlignment="1">
      <alignment horizontal="right"/>
    </xf>
    <xf numFmtId="170" fontId="16" fillId="5" borderId="92" xfId="1" applyNumberFormat="1" applyFont="1" applyFill="1" applyBorder="1" applyAlignment="1">
      <alignment horizontal="center" vertical="center"/>
    </xf>
    <xf numFmtId="16" fontId="0" fillId="0" borderId="15" xfId="0" applyNumberFormat="1" applyBorder="1" applyAlignment="1">
      <alignment horizontal="center" vertical="center"/>
    </xf>
    <xf numFmtId="0" fontId="48" fillId="0" borderId="15" xfId="0" applyFont="1" applyBorder="1" applyAlignment="1">
      <alignment horizontal="center" vertical="center" wrapText="1"/>
    </xf>
    <xf numFmtId="16" fontId="0" fillId="0" borderId="5" xfId="0" applyNumberFormat="1" applyBorder="1" applyAlignment="1">
      <alignment horizontal="center" vertical="top"/>
    </xf>
    <xf numFmtId="0" fontId="0" fillId="0" borderId="5" xfId="0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16" fontId="0" fillId="0" borderId="5" xfId="0" applyNumberFormat="1" applyBorder="1" applyAlignment="1">
      <alignment vertical="center"/>
    </xf>
    <xf numFmtId="16" fontId="0" fillId="0" borderId="5" xfId="0" applyNumberFormat="1" applyBorder="1" applyAlignment="1">
      <alignment vertical="top"/>
    </xf>
    <xf numFmtId="16" fontId="0" fillId="0" borderId="5" xfId="0" applyNumberFormat="1" applyBorder="1" applyAlignment="1">
      <alignment horizontal="center"/>
    </xf>
    <xf numFmtId="0" fontId="40" fillId="5" borderId="15" xfId="0" applyFont="1" applyFill="1" applyBorder="1" applyAlignment="1">
      <alignment horizontal="center" vertical="center" wrapText="1"/>
    </xf>
    <xf numFmtId="0" fontId="40" fillId="0" borderId="109" xfId="0" applyFont="1" applyBorder="1" applyAlignment="1">
      <alignment horizontal="center"/>
    </xf>
    <xf numFmtId="16" fontId="0" fillId="0" borderId="93" xfId="0" applyNumberFormat="1" applyBorder="1" applyAlignment="1">
      <alignment horizontal="center" vertical="center"/>
    </xf>
    <xf numFmtId="0" fontId="0" fillId="0" borderId="93" xfId="0" applyBorder="1"/>
    <xf numFmtId="1" fontId="0" fillId="0" borderId="93" xfId="0" applyNumberFormat="1" applyBorder="1" applyAlignment="1">
      <alignment horizontal="center"/>
    </xf>
    <xf numFmtId="0" fontId="0" fillId="0" borderId="93" xfId="0" applyBorder="1" applyAlignment="1">
      <alignment horizontal="center"/>
    </xf>
    <xf numFmtId="173" fontId="0" fillId="0" borderId="93" xfId="0" applyNumberFormat="1" applyBorder="1" applyAlignment="1">
      <alignment horizontal="center"/>
    </xf>
    <xf numFmtId="0" fontId="40" fillId="13" borderId="87" xfId="0" applyFont="1" applyFill="1" applyBorder="1" applyAlignment="1">
      <alignment vertical="center"/>
    </xf>
    <xf numFmtId="0" fontId="40" fillId="13" borderId="14" xfId="0" applyFont="1" applyFill="1" applyBorder="1" applyAlignment="1">
      <alignment vertical="center"/>
    </xf>
    <xf numFmtId="0" fontId="52" fillId="0" borderId="15" xfId="0" applyFont="1" applyBorder="1" applyAlignment="1">
      <alignment vertical="center"/>
    </xf>
    <xf numFmtId="0" fontId="40" fillId="13" borderId="16" xfId="0" applyFont="1" applyFill="1" applyBorder="1" applyAlignment="1">
      <alignment horizontal="center" vertical="center"/>
    </xf>
    <xf numFmtId="0" fontId="40" fillId="13" borderId="88" xfId="0" applyFont="1" applyFill="1" applyBorder="1" applyAlignment="1">
      <alignment horizontal="center" vertical="center"/>
    </xf>
    <xf numFmtId="0" fontId="40" fillId="23" borderId="15" xfId="0" applyFont="1" applyFill="1" applyBorder="1" applyAlignment="1">
      <alignment horizontal="center" vertical="center"/>
    </xf>
    <xf numFmtId="0" fontId="40" fillId="23" borderId="5" xfId="0" applyFont="1" applyFill="1" applyBorder="1" applyAlignment="1">
      <alignment horizontal="center" vertical="center"/>
    </xf>
    <xf numFmtId="0" fontId="0" fillId="0" borderId="68" xfId="0" applyBorder="1" applyAlignment="1">
      <alignment horizontal="center"/>
    </xf>
    <xf numFmtId="1" fontId="0" fillId="0" borderId="68" xfId="0" applyNumberFormat="1" applyBorder="1" applyAlignment="1">
      <alignment horizontal="center"/>
    </xf>
    <xf numFmtId="173" fontId="0" fillId="0" borderId="68" xfId="0" applyNumberFormat="1" applyBorder="1" applyAlignment="1">
      <alignment horizontal="center"/>
    </xf>
    <xf numFmtId="0" fontId="40" fillId="5" borderId="2" xfId="0" applyFont="1" applyFill="1" applyBorder="1" applyAlignment="1">
      <alignment horizontal="center" vertical="center"/>
    </xf>
    <xf numFmtId="1" fontId="0" fillId="0" borderId="70" xfId="0" applyNumberFormat="1" applyBorder="1" applyAlignment="1">
      <alignment horizontal="center"/>
    </xf>
    <xf numFmtId="0" fontId="52" fillId="0" borderId="15" xfId="0" applyFont="1" applyBorder="1"/>
    <xf numFmtId="0" fontId="52" fillId="0" borderId="93" xfId="0" applyFont="1" applyBorder="1"/>
    <xf numFmtId="0" fontId="52" fillId="0" borderId="70" xfId="0" applyFont="1" applyBorder="1"/>
    <xf numFmtId="0" fontId="52" fillId="0" borderId="68" xfId="0" applyFont="1" applyBorder="1"/>
    <xf numFmtId="0" fontId="42" fillId="16" borderId="13" xfId="0" applyFont="1" applyFill="1" applyBorder="1" applyAlignment="1">
      <alignment horizontal="left" vertical="center" wrapText="1"/>
    </xf>
    <xf numFmtId="0" fontId="42" fillId="16" borderId="13" xfId="0" applyFont="1" applyFill="1" applyBorder="1" applyAlignment="1">
      <alignment vertical="center" wrapText="1"/>
    </xf>
    <xf numFmtId="177" fontId="5" fillId="0" borderId="0" xfId="391" applyNumberFormat="1" applyFont="1" applyAlignment="1">
      <alignment horizontal="center" vertical="center"/>
    </xf>
    <xf numFmtId="0" fontId="40" fillId="13" borderId="67" xfId="0" applyFont="1" applyFill="1" applyBorder="1" applyAlignment="1">
      <alignment horizontal="center" vertical="center"/>
    </xf>
    <xf numFmtId="0" fontId="0" fillId="0" borderId="93" xfId="0" applyBorder="1" applyAlignment="1">
      <alignment horizontal="center" vertical="top"/>
    </xf>
    <xf numFmtId="0" fontId="3" fillId="13" borderId="69" xfId="0" applyFont="1" applyFill="1" applyBorder="1" applyAlignment="1">
      <alignment horizontal="center" vertical="center"/>
    </xf>
    <xf numFmtId="0" fontId="0" fillId="0" borderId="67" xfId="0" applyBorder="1" applyAlignment="1">
      <alignment horizontal="center" vertical="top"/>
    </xf>
    <xf numFmtId="0" fontId="0" fillId="0" borderId="69" xfId="0" applyBorder="1" applyAlignment="1">
      <alignment horizontal="center" vertical="top"/>
    </xf>
    <xf numFmtId="0" fontId="3" fillId="13" borderId="15" xfId="0" applyFont="1" applyFill="1" applyBorder="1" applyAlignment="1">
      <alignment vertical="center"/>
    </xf>
    <xf numFmtId="167" fontId="5" fillId="0" borderId="0" xfId="391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69" fontId="5" fillId="6" borderId="30" xfId="1" applyNumberFormat="1" applyFont="1" applyFill="1" applyBorder="1" applyAlignment="1">
      <alignment horizontal="center" vertical="center"/>
    </xf>
    <xf numFmtId="169" fontId="5" fillId="6" borderId="8" xfId="1" applyNumberFormat="1" applyFont="1" applyFill="1" applyBorder="1" applyAlignment="1">
      <alignment horizontal="center" vertical="center"/>
    </xf>
    <xf numFmtId="169" fontId="14" fillId="6" borderId="9" xfId="1" applyNumberFormat="1" applyFont="1" applyFill="1" applyBorder="1" applyAlignment="1">
      <alignment horizontal="center" vertical="center"/>
    </xf>
    <xf numFmtId="169" fontId="14" fillId="6" borderId="8" xfId="1" applyNumberFormat="1" applyFont="1" applyFill="1" applyBorder="1" applyAlignment="1">
      <alignment horizontal="center" vertical="center"/>
    </xf>
    <xf numFmtId="169" fontId="11" fillId="6" borderId="30" xfId="1" applyNumberFormat="1" applyFont="1" applyFill="1" applyBorder="1" applyAlignment="1">
      <alignment horizontal="center" vertical="center"/>
    </xf>
    <xf numFmtId="169" fontId="11" fillId="6" borderId="8" xfId="1" applyNumberFormat="1" applyFont="1" applyFill="1" applyBorder="1" applyAlignment="1">
      <alignment horizontal="center" vertical="center"/>
    </xf>
    <xf numFmtId="169" fontId="5" fillId="6" borderId="9" xfId="1" applyNumberFormat="1" applyFont="1" applyFill="1" applyBorder="1" applyAlignment="1">
      <alignment horizontal="center" vertical="center"/>
    </xf>
    <xf numFmtId="0" fontId="3" fillId="5" borderId="70" xfId="0" applyFont="1" applyFill="1" applyBorder="1" applyAlignment="1">
      <alignment horizontal="center" vertical="center"/>
    </xf>
    <xf numFmtId="173" fontId="0" fillId="0" borderId="69" xfId="0" applyNumberFormat="1" applyBorder="1" applyAlignment="1">
      <alignment horizontal="center"/>
    </xf>
    <xf numFmtId="1" fontId="0" fillId="0" borderId="69" xfId="0" applyNumberFormat="1" applyBorder="1" applyAlignment="1">
      <alignment horizontal="center"/>
    </xf>
    <xf numFmtId="0" fontId="0" fillId="0" borderId="69" xfId="0" applyBorder="1" applyAlignment="1">
      <alignment horizontal="center"/>
    </xf>
    <xf numFmtId="170" fontId="5" fillId="0" borderId="9" xfId="1" applyNumberFormat="1" applyFont="1" applyBorder="1" applyAlignment="1">
      <alignment horizontal="center" vertical="center"/>
    </xf>
    <xf numFmtId="170" fontId="5" fillId="0" borderId="91" xfId="1" applyNumberFormat="1" applyFont="1" applyBorder="1" applyAlignment="1">
      <alignment horizontal="center" vertical="center"/>
    </xf>
    <xf numFmtId="0" fontId="52" fillId="0" borderId="69" xfId="0" applyFont="1" applyBorder="1"/>
    <xf numFmtId="168" fontId="56" fillId="24" borderId="5" xfId="0" applyNumberFormat="1" applyFont="1" applyFill="1" applyBorder="1" applyAlignment="1">
      <alignment horizontal="center" vertical="center"/>
    </xf>
    <xf numFmtId="0" fontId="57" fillId="0" borderId="5" xfId="0" applyFont="1" applyBorder="1" applyAlignment="1">
      <alignment horizontal="left" vertical="center" wrapText="1"/>
    </xf>
    <xf numFmtId="173" fontId="57" fillId="0" borderId="5" xfId="0" applyNumberFormat="1" applyFont="1" applyBorder="1" applyAlignment="1">
      <alignment horizontal="center" vertical="center"/>
    </xf>
    <xf numFmtId="10" fontId="57" fillId="0" borderId="5" xfId="391" applyNumberFormat="1" applyFont="1" applyBorder="1" applyAlignment="1">
      <alignment horizontal="center" vertical="center"/>
    </xf>
    <xf numFmtId="173" fontId="56" fillId="0" borderId="5" xfId="0" applyNumberFormat="1" applyFont="1" applyBorder="1" applyAlignment="1">
      <alignment horizontal="center" vertical="center"/>
    </xf>
    <xf numFmtId="10" fontId="56" fillId="0" borderId="5" xfId="391" applyNumberFormat="1" applyFont="1" applyBorder="1" applyAlignment="1">
      <alignment horizontal="center" vertical="center"/>
    </xf>
    <xf numFmtId="0" fontId="56" fillId="0" borderId="5" xfId="0" applyFont="1" applyBorder="1" applyAlignment="1">
      <alignment horizontal="left" vertical="center" wrapText="1"/>
    </xf>
    <xf numFmtId="0" fontId="57" fillId="0" borderId="0" xfId="0" applyFont="1"/>
    <xf numFmtId="177" fontId="57" fillId="0" borderId="5" xfId="391" applyNumberFormat="1" applyFont="1" applyBorder="1" applyAlignment="1">
      <alignment horizontal="center" vertical="center"/>
    </xf>
    <xf numFmtId="173" fontId="58" fillId="0" borderId="5" xfId="0" applyNumberFormat="1" applyFont="1" applyBorder="1" applyAlignment="1">
      <alignment horizontal="center" vertical="center"/>
    </xf>
    <xf numFmtId="177" fontId="58" fillId="0" borderId="5" xfId="391" applyNumberFormat="1" applyFont="1" applyBorder="1" applyAlignment="1">
      <alignment horizontal="center" vertical="center"/>
    </xf>
    <xf numFmtId="0" fontId="55" fillId="0" borderId="0" xfId="0" applyFont="1" applyAlignment="1">
      <alignment horizontal="center" vertical="center" textRotation="90"/>
    </xf>
    <xf numFmtId="0" fontId="57" fillId="0" borderId="0" xfId="0" applyFont="1" applyAlignment="1">
      <alignment horizontal="center" wrapText="1"/>
    </xf>
    <xf numFmtId="0" fontId="57" fillId="0" borderId="0" xfId="0" applyFont="1" applyAlignment="1">
      <alignment wrapText="1"/>
    </xf>
    <xf numFmtId="0" fontId="57" fillId="0" borderId="90" xfId="0" applyFont="1" applyBorder="1" applyAlignment="1">
      <alignment vertical="center"/>
    </xf>
    <xf numFmtId="0" fontId="57" fillId="0" borderId="0" xfId="0" applyFont="1" applyAlignment="1">
      <alignment vertical="center"/>
    </xf>
    <xf numFmtId="168" fontId="57" fillId="0" borderId="90" xfId="0" applyNumberFormat="1" applyFont="1" applyBorder="1" applyAlignment="1">
      <alignment horizontal="center" vertical="center"/>
    </xf>
    <xf numFmtId="168" fontId="57" fillId="0" borderId="0" xfId="0" applyNumberFormat="1" applyFont="1" applyAlignment="1">
      <alignment horizontal="center" vertical="center"/>
    </xf>
    <xf numFmtId="10" fontId="57" fillId="0" borderId="5" xfId="0" applyNumberFormat="1" applyFont="1" applyBorder="1" applyAlignment="1">
      <alignment horizontal="center" vertical="center"/>
    </xf>
    <xf numFmtId="173" fontId="57" fillId="0" borderId="90" xfId="0" applyNumberFormat="1" applyFont="1" applyBorder="1" applyAlignment="1">
      <alignment horizontal="center" vertical="center"/>
    </xf>
    <xf numFmtId="10" fontId="57" fillId="0" borderId="0" xfId="391" applyNumberFormat="1" applyFont="1" applyFill="1" applyBorder="1" applyAlignment="1">
      <alignment horizontal="center" vertical="center"/>
    </xf>
    <xf numFmtId="173" fontId="57" fillId="0" borderId="90" xfId="0" applyNumberFormat="1" applyFont="1" applyBorder="1" applyAlignment="1">
      <alignment vertical="center"/>
    </xf>
    <xf numFmtId="173" fontId="57" fillId="0" borderId="0" xfId="0" applyNumberFormat="1" applyFont="1" applyAlignment="1">
      <alignment vertical="center"/>
    </xf>
    <xf numFmtId="0" fontId="57" fillId="0" borderId="42" xfId="0" applyFont="1" applyBorder="1" applyAlignment="1">
      <alignment wrapText="1"/>
    </xf>
    <xf numFmtId="0" fontId="57" fillId="0" borderId="17" xfId="0" applyFont="1" applyBorder="1" applyAlignment="1">
      <alignment wrapText="1"/>
    </xf>
    <xf numFmtId="0" fontId="57" fillId="0" borderId="41" xfId="0" applyFont="1" applyBorder="1" applyAlignment="1">
      <alignment wrapText="1"/>
    </xf>
    <xf numFmtId="0" fontId="57" fillId="0" borderId="90" xfId="0" applyFont="1" applyBorder="1" applyAlignment="1">
      <alignment wrapText="1"/>
    </xf>
    <xf numFmtId="0" fontId="57" fillId="0" borderId="94" xfId="0" applyFont="1" applyBorder="1" applyAlignment="1">
      <alignment wrapText="1"/>
    </xf>
    <xf numFmtId="0" fontId="57" fillId="0" borderId="100" xfId="0" applyFont="1" applyBorder="1" applyAlignment="1">
      <alignment wrapText="1"/>
    </xf>
    <xf numFmtId="0" fontId="57" fillId="0" borderId="13" xfId="0" applyFont="1" applyBorder="1" applyAlignment="1">
      <alignment wrapText="1"/>
    </xf>
    <xf numFmtId="0" fontId="57" fillId="0" borderId="97" xfId="0" applyFont="1" applyBorder="1" applyAlignment="1">
      <alignment wrapText="1"/>
    </xf>
    <xf numFmtId="0" fontId="3" fillId="12" borderId="112" xfId="0" applyFont="1" applyFill="1" applyBorder="1" applyAlignment="1">
      <alignment horizontal="center" vertical="center"/>
    </xf>
    <xf numFmtId="170" fontId="10" fillId="0" borderId="9" xfId="1" applyNumberFormat="1" applyFont="1" applyBorder="1" applyAlignment="1">
      <alignment horizontal="center" vertical="center"/>
    </xf>
    <xf numFmtId="0" fontId="0" fillId="6" borderId="0" xfId="0" applyFill="1"/>
    <xf numFmtId="170" fontId="9" fillId="5" borderId="6" xfId="1" applyNumberFormat="1" applyFont="1" applyFill="1" applyBorder="1" applyAlignment="1">
      <alignment horizontal="center" vertical="center"/>
    </xf>
    <xf numFmtId="0" fontId="52" fillId="0" borderId="5" xfId="0" applyFont="1" applyBorder="1"/>
    <xf numFmtId="1" fontId="0" fillId="0" borderId="98" xfId="0" applyNumberFormat="1" applyBorder="1" applyAlignment="1">
      <alignment horizontal="center"/>
    </xf>
    <xf numFmtId="0" fontId="3" fillId="12" borderId="113" xfId="0" applyFont="1" applyFill="1" applyBorder="1" applyAlignment="1">
      <alignment horizontal="center" vertical="center"/>
    </xf>
    <xf numFmtId="173" fontId="0" fillId="0" borderId="111" xfId="0" applyNumberFormat="1" applyBorder="1" applyAlignment="1">
      <alignment horizontal="center"/>
    </xf>
    <xf numFmtId="0" fontId="39" fillId="0" borderId="2" xfId="0" applyFont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0" fillId="6" borderId="15" xfId="0" applyFill="1" applyBorder="1"/>
    <xf numFmtId="0" fontId="3" fillId="6" borderId="14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3" fillId="6" borderId="69" xfId="0" applyFont="1" applyFill="1" applyBorder="1" applyAlignment="1">
      <alignment horizontal="center" vertical="center" wrapText="1"/>
    </xf>
    <xf numFmtId="0" fontId="3" fillId="6" borderId="69" xfId="0" applyFont="1" applyFill="1" applyBorder="1" applyAlignment="1">
      <alignment horizontal="center" vertical="center"/>
    </xf>
    <xf numFmtId="16" fontId="0" fillId="0" borderId="98" xfId="0" applyNumberFormat="1" applyBorder="1" applyAlignment="1">
      <alignment horizontal="center" vertical="center"/>
    </xf>
    <xf numFmtId="0" fontId="40" fillId="13" borderId="107" xfId="0" applyFont="1" applyFill="1" applyBorder="1" applyAlignment="1">
      <alignment vertical="center"/>
    </xf>
    <xf numFmtId="0" fontId="40" fillId="13" borderId="98" xfId="0" applyFont="1" applyFill="1" applyBorder="1" applyAlignment="1">
      <alignment vertical="center"/>
    </xf>
    <xf numFmtId="0" fontId="0" fillId="0" borderId="93" xfId="0" applyBorder="1" applyAlignment="1">
      <alignment horizontal="left" vertical="center"/>
    </xf>
    <xf numFmtId="16" fontId="0" fillId="0" borderId="107" xfId="0" applyNumberFormat="1" applyBorder="1" applyAlignment="1">
      <alignment horizontal="center" vertical="center"/>
    </xf>
    <xf numFmtId="16" fontId="0" fillId="0" borderId="15" xfId="0" applyNumberFormat="1" applyBorder="1" applyAlignment="1">
      <alignment vertical="center"/>
    </xf>
    <xf numFmtId="0" fontId="60" fillId="0" borderId="5" xfId="0" applyFont="1" applyBorder="1" applyAlignment="1">
      <alignment horizontal="center" vertical="center" wrapText="1"/>
    </xf>
    <xf numFmtId="169" fontId="10" fillId="0" borderId="114" xfId="1" applyNumberFormat="1" applyFont="1" applyBorder="1" applyAlignment="1">
      <alignment horizontal="center" vertical="center"/>
    </xf>
    <xf numFmtId="169" fontId="10" fillId="0" borderId="8" xfId="1" applyNumberFormat="1" applyFont="1" applyBorder="1" applyAlignment="1">
      <alignment horizontal="center" vertical="center"/>
    </xf>
    <xf numFmtId="169" fontId="10" fillId="0" borderId="115" xfId="1" applyNumberFormat="1" applyFont="1" applyBorder="1" applyAlignment="1">
      <alignment horizontal="center" vertical="center"/>
    </xf>
    <xf numFmtId="169" fontId="14" fillId="0" borderId="116" xfId="1" applyNumberFormat="1" applyFont="1" applyBorder="1" applyAlignment="1">
      <alignment horizontal="center" vertical="center"/>
    </xf>
    <xf numFmtId="169" fontId="15" fillId="5" borderId="117" xfId="1" applyNumberFormat="1" applyFont="1" applyFill="1" applyBorder="1" applyAlignment="1">
      <alignment horizontal="center" vertical="center"/>
    </xf>
    <xf numFmtId="169" fontId="14" fillId="0" borderId="118" xfId="1" applyNumberFormat="1" applyFont="1" applyBorder="1" applyAlignment="1">
      <alignment horizontal="center" vertical="center"/>
    </xf>
    <xf numFmtId="169" fontId="5" fillId="7" borderId="31" xfId="1" applyNumberFormat="1" applyFont="1" applyFill="1" applyBorder="1" applyAlignment="1">
      <alignment horizontal="center" vertical="center"/>
    </xf>
    <xf numFmtId="169" fontId="5" fillId="7" borderId="24" xfId="1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1" fontId="0" fillId="0" borderId="16" xfId="0" applyNumberFormat="1" applyBorder="1" applyAlignment="1">
      <alignment horizontal="center"/>
    </xf>
    <xf numFmtId="173" fontId="0" fillId="0" borderId="16" xfId="0" applyNumberFormat="1" applyBorder="1" applyAlignment="1">
      <alignment horizontal="center"/>
    </xf>
    <xf numFmtId="0" fontId="40" fillId="13" borderId="69" xfId="0" applyFont="1" applyFill="1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3" fillId="12" borderId="97" xfId="0" applyFont="1" applyFill="1" applyBorder="1" applyAlignment="1">
      <alignment horizontal="center" vertical="center"/>
    </xf>
    <xf numFmtId="0" fontId="41" fillId="0" borderId="100" xfId="0" applyFont="1" applyBorder="1" applyAlignment="1">
      <alignment horizontal="center" vertical="center"/>
    </xf>
    <xf numFmtId="173" fontId="40" fillId="7" borderId="43" xfId="0" applyNumberFormat="1" applyFont="1" applyFill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169" fontId="10" fillId="6" borderId="30" xfId="1" applyNumberFormat="1" applyFont="1" applyFill="1" applyBorder="1" applyAlignment="1">
      <alignment horizontal="center" vertical="center"/>
    </xf>
    <xf numFmtId="169" fontId="10" fillId="6" borderId="8" xfId="1" applyNumberFormat="1" applyFont="1" applyFill="1" applyBorder="1" applyAlignment="1">
      <alignment horizontal="center" vertical="center"/>
    </xf>
    <xf numFmtId="169" fontId="10" fillId="6" borderId="9" xfId="1" applyNumberFormat="1" applyFont="1" applyFill="1" applyBorder="1" applyAlignment="1">
      <alignment horizontal="center" vertical="center"/>
    </xf>
    <xf numFmtId="169" fontId="11" fillId="6" borderId="9" xfId="1" applyNumberFormat="1" applyFont="1" applyFill="1" applyBorder="1" applyAlignment="1">
      <alignment horizontal="center" vertical="center"/>
    </xf>
    <xf numFmtId="170" fontId="5" fillId="6" borderId="9" xfId="1" applyNumberFormat="1" applyFont="1" applyFill="1" applyBorder="1" applyAlignment="1">
      <alignment horizontal="center" vertical="center"/>
    </xf>
    <xf numFmtId="169" fontId="10" fillId="6" borderId="114" xfId="1" applyNumberFormat="1" applyFont="1" applyFill="1" applyBorder="1" applyAlignment="1">
      <alignment horizontal="center" vertical="center"/>
    </xf>
    <xf numFmtId="169" fontId="10" fillId="6" borderId="115" xfId="1" applyNumberFormat="1" applyFont="1" applyFill="1" applyBorder="1" applyAlignment="1">
      <alignment horizontal="center" vertical="center"/>
    </xf>
    <xf numFmtId="170" fontId="10" fillId="6" borderId="9" xfId="1" applyNumberFormat="1" applyFont="1" applyFill="1" applyBorder="1" applyAlignment="1">
      <alignment horizontal="center" vertical="center"/>
    </xf>
    <xf numFmtId="170" fontId="5" fillId="6" borderId="91" xfId="1" applyNumberFormat="1" applyFont="1" applyFill="1" applyBorder="1" applyAlignment="1">
      <alignment horizontal="center" vertical="center"/>
    </xf>
    <xf numFmtId="0" fontId="0" fillId="0" borderId="69" xfId="0" applyBorder="1" applyAlignment="1">
      <alignment horizontal="left"/>
    </xf>
    <xf numFmtId="0" fontId="40" fillId="13" borderId="93" xfId="0" applyFont="1" applyFill="1" applyBorder="1" applyAlignment="1">
      <alignment horizontal="center" vertical="center"/>
    </xf>
    <xf numFmtId="168" fontId="8" fillId="6" borderId="119" xfId="0" applyNumberFormat="1" applyFont="1" applyFill="1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3" fillId="13" borderId="70" xfId="0" applyFont="1" applyFill="1" applyBorder="1" applyAlignment="1">
      <alignment horizontal="center" vertical="center"/>
    </xf>
    <xf numFmtId="0" fontId="41" fillId="0" borderId="20" xfId="0" applyFont="1" applyBorder="1" applyAlignment="1">
      <alignment horizontal="center" vertical="center"/>
    </xf>
    <xf numFmtId="0" fontId="3" fillId="0" borderId="5" xfId="0" applyFont="1" applyBorder="1"/>
    <xf numFmtId="173" fontId="3" fillId="12" borderId="99" xfId="0" applyNumberFormat="1" applyFont="1" applyFill="1" applyBorder="1" applyAlignment="1">
      <alignment horizontal="center" vertical="center"/>
    </xf>
    <xf numFmtId="0" fontId="0" fillId="0" borderId="93" xfId="0" applyBorder="1" applyAlignment="1">
      <alignment vertical="center"/>
    </xf>
    <xf numFmtId="0" fontId="39" fillId="0" borderId="0" xfId="0" applyFont="1" applyAlignment="1">
      <alignment horizontal="center" vertical="center"/>
    </xf>
    <xf numFmtId="0" fontId="41" fillId="6" borderId="5" xfId="0" applyFont="1" applyFill="1" applyBorder="1" applyAlignment="1">
      <alignment horizontal="center" vertical="center"/>
    </xf>
    <xf numFmtId="173" fontId="0" fillId="0" borderId="110" xfId="0" applyNumberFormat="1" applyBorder="1"/>
    <xf numFmtId="173" fontId="0" fillId="0" borderId="4" xfId="0" applyNumberFormat="1" applyBorder="1"/>
    <xf numFmtId="173" fontId="3" fillId="12" borderId="2" xfId="0" applyNumberFormat="1" applyFont="1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177" fontId="5" fillId="7" borderId="32" xfId="391" applyNumberFormat="1" applyFont="1" applyFill="1" applyBorder="1" applyAlignment="1">
      <alignment horizontal="center" vertical="center"/>
    </xf>
    <xf numFmtId="177" fontId="5" fillId="7" borderId="39" xfId="391" applyNumberFormat="1" applyFont="1" applyFill="1" applyBorder="1" applyAlignment="1">
      <alignment horizontal="center" vertical="center"/>
    </xf>
    <xf numFmtId="177" fontId="5" fillId="7" borderId="37" xfId="391" applyNumberFormat="1" applyFont="1" applyFill="1" applyBorder="1" applyAlignment="1">
      <alignment horizontal="center" vertical="center"/>
    </xf>
    <xf numFmtId="177" fontId="5" fillId="7" borderId="38" xfId="391" applyNumberFormat="1" applyFont="1" applyFill="1" applyBorder="1" applyAlignment="1">
      <alignment horizontal="center" vertical="center"/>
    </xf>
    <xf numFmtId="173" fontId="0" fillId="0" borderId="97" xfId="0" applyNumberFormat="1" applyBorder="1"/>
    <xf numFmtId="0" fontId="53" fillId="0" borderId="5" xfId="0" applyFont="1" applyBorder="1" applyAlignment="1">
      <alignment vertical="center" wrapText="1"/>
    </xf>
    <xf numFmtId="0" fontId="53" fillId="0" borderId="4" xfId="0" applyFont="1" applyBorder="1" applyAlignment="1">
      <alignment vertical="center" wrapText="1"/>
    </xf>
    <xf numFmtId="1" fontId="40" fillId="13" borderId="16" xfId="0" applyNumberFormat="1" applyFont="1" applyFill="1" applyBorder="1" applyAlignment="1">
      <alignment vertical="center"/>
    </xf>
    <xf numFmtId="1" fontId="40" fillId="13" borderId="69" xfId="0" applyNumberFormat="1" applyFont="1" applyFill="1" applyBorder="1" applyAlignment="1">
      <alignment vertical="center"/>
    </xf>
    <xf numFmtId="0" fontId="0" fillId="0" borderId="107" xfId="0" applyBorder="1" applyAlignment="1">
      <alignment horizontal="center" vertical="center"/>
    </xf>
    <xf numFmtId="0" fontId="0" fillId="0" borderId="69" xfId="0" quotePrefix="1" applyBorder="1"/>
    <xf numFmtId="0" fontId="0" fillId="0" borderId="120" xfId="0" applyBorder="1" applyAlignment="1">
      <alignment horizontal="center" vertical="center"/>
    </xf>
    <xf numFmtId="0" fontId="0" fillId="0" borderId="121" xfId="0" applyBorder="1"/>
    <xf numFmtId="0" fontId="3" fillId="12" borderId="121" xfId="0" applyFont="1" applyFill="1" applyBorder="1" applyAlignment="1">
      <alignment horizontal="center" vertical="center"/>
    </xf>
    <xf numFmtId="0" fontId="0" fillId="0" borderId="122" xfId="0" applyBorder="1" applyAlignment="1">
      <alignment horizontal="center" vertical="center"/>
    </xf>
    <xf numFmtId="0" fontId="3" fillId="12" borderId="99" xfId="0" applyFont="1" applyFill="1" applyBorder="1" applyAlignment="1">
      <alignment horizontal="center" vertical="center"/>
    </xf>
    <xf numFmtId="1" fontId="0" fillId="0" borderId="69" xfId="0" applyNumberFormat="1" applyBorder="1"/>
    <xf numFmtId="173" fontId="3" fillId="13" borderId="16" xfId="0" applyNumberFormat="1" applyFont="1" applyFill="1" applyBorder="1" applyAlignment="1">
      <alignment vertical="center"/>
    </xf>
    <xf numFmtId="173" fontId="3" fillId="13" borderId="69" xfId="0" applyNumberFormat="1" applyFont="1" applyFill="1" applyBorder="1" applyAlignment="1">
      <alignment vertical="center"/>
    </xf>
    <xf numFmtId="0" fontId="52" fillId="0" borderId="14" xfId="0" applyFont="1" applyBorder="1"/>
    <xf numFmtId="1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3" fillId="12" borderId="14" xfId="0" applyFont="1" applyFill="1" applyBorder="1" applyAlignment="1">
      <alignment horizontal="center" vertical="center"/>
    </xf>
    <xf numFmtId="0" fontId="3" fillId="13" borderId="67" xfId="0" applyFont="1" applyFill="1" applyBorder="1" applyAlignment="1">
      <alignment vertical="center"/>
    </xf>
    <xf numFmtId="173" fontId="40" fillId="13" borderId="69" xfId="0" applyNumberFormat="1" applyFont="1" applyFill="1" applyBorder="1" applyAlignment="1">
      <alignment vertical="center"/>
    </xf>
    <xf numFmtId="16" fontId="0" fillId="0" borderId="111" xfId="0" applyNumberFormat="1" applyBorder="1" applyAlignment="1">
      <alignment horizontal="center" vertical="center"/>
    </xf>
    <xf numFmtId="173" fontId="0" fillId="0" borderId="93" xfId="0" applyNumberFormat="1" applyBorder="1"/>
    <xf numFmtId="0" fontId="41" fillId="6" borderId="2" xfId="0" applyFont="1" applyFill="1" applyBorder="1" applyAlignment="1">
      <alignment horizontal="center" vertical="center"/>
    </xf>
    <xf numFmtId="0" fontId="41" fillId="0" borderId="123" xfId="0" applyFont="1" applyBorder="1" applyAlignment="1">
      <alignment horizontal="center" vertical="center"/>
    </xf>
    <xf numFmtId="173" fontId="3" fillId="12" borderId="100" xfId="0" applyNumberFormat="1" applyFont="1" applyFill="1" applyBorder="1" applyAlignment="1">
      <alignment horizontal="center" vertical="center"/>
    </xf>
    <xf numFmtId="0" fontId="0" fillId="0" borderId="100" xfId="0" applyBorder="1"/>
    <xf numFmtId="0" fontId="0" fillId="0" borderId="2" xfId="0" applyBorder="1"/>
    <xf numFmtId="0" fontId="3" fillId="12" borderId="16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0" fillId="0" borderId="69" xfId="0" applyBorder="1" applyAlignment="1">
      <alignment vertical="top"/>
    </xf>
    <xf numFmtId="0" fontId="63" fillId="0" borderId="69" xfId="0" applyFont="1" applyBorder="1"/>
    <xf numFmtId="173" fontId="63" fillId="0" borderId="69" xfId="0" applyNumberFormat="1" applyFont="1" applyBorder="1"/>
    <xf numFmtId="173" fontId="3" fillId="12" borderId="0" xfId="0" applyNumberFormat="1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0" fillId="0" borderId="68" xfId="0" applyBorder="1" applyAlignment="1">
      <alignment horizontal="center" vertical="center"/>
    </xf>
    <xf numFmtId="16" fontId="0" fillId="0" borderId="68" xfId="0" applyNumberFormat="1" applyBorder="1" applyAlignment="1">
      <alignment horizontal="center" vertical="center"/>
    </xf>
    <xf numFmtId="16" fontId="0" fillId="0" borderId="110" xfId="0" applyNumberFormat="1" applyBorder="1" applyAlignment="1">
      <alignment horizontal="center" vertical="center"/>
    </xf>
    <xf numFmtId="0" fontId="3" fillId="13" borderId="68" xfId="0" applyFont="1" applyFill="1" applyBorder="1" applyAlignment="1">
      <alignment vertical="center"/>
    </xf>
    <xf numFmtId="2" fontId="57" fillId="0" borderId="5" xfId="0" applyNumberFormat="1" applyFont="1" applyBorder="1" applyAlignment="1">
      <alignment horizontal="center" vertical="center"/>
    </xf>
    <xf numFmtId="173" fontId="3" fillId="13" borderId="67" xfId="0" applyNumberFormat="1" applyFont="1" applyFill="1" applyBorder="1" applyAlignment="1">
      <alignment vertical="center"/>
    </xf>
    <xf numFmtId="173" fontId="3" fillId="13" borderId="15" xfId="0" applyNumberFormat="1" applyFont="1" applyFill="1" applyBorder="1" applyAlignment="1">
      <alignment vertical="center"/>
    </xf>
    <xf numFmtId="0" fontId="0" fillId="0" borderId="70" xfId="0" applyBorder="1" applyAlignment="1">
      <alignment horizontal="center" vertical="center"/>
    </xf>
    <xf numFmtId="16" fontId="0" fillId="0" borderId="70" xfId="0" applyNumberFormat="1" applyBorder="1" applyAlignment="1">
      <alignment horizontal="center" vertical="center"/>
    </xf>
    <xf numFmtId="173" fontId="3" fillId="13" borderId="70" xfId="0" applyNumberFormat="1" applyFont="1" applyFill="1" applyBorder="1" applyAlignment="1">
      <alignment vertical="center"/>
    </xf>
    <xf numFmtId="0" fontId="0" fillId="0" borderId="113" xfId="0" applyBorder="1"/>
    <xf numFmtId="0" fontId="3" fillId="12" borderId="124" xfId="0" applyFont="1" applyFill="1" applyBorder="1" applyAlignment="1">
      <alignment horizontal="center" vertical="center"/>
    </xf>
    <xf numFmtId="0" fontId="52" fillId="0" borderId="69" xfId="0" applyFont="1" applyBorder="1" applyAlignment="1">
      <alignment vertical="center"/>
    </xf>
    <xf numFmtId="0" fontId="40" fillId="5" borderId="127" xfId="0" applyFont="1" applyFill="1" applyBorder="1" applyAlignment="1">
      <alignment horizontal="center" vertical="center"/>
    </xf>
    <xf numFmtId="0" fontId="40" fillId="5" borderId="62" xfId="0" applyFont="1" applyFill="1" applyBorder="1" applyAlignment="1">
      <alignment horizontal="center" vertical="center"/>
    </xf>
    <xf numFmtId="0" fontId="40" fillId="5" borderId="41" xfId="0" applyFont="1" applyFill="1" applyBorder="1" applyAlignment="1">
      <alignment horizontal="center" vertical="center"/>
    </xf>
    <xf numFmtId="0" fontId="40" fillId="5" borderId="42" xfId="0" applyFont="1" applyFill="1" applyBorder="1" applyAlignment="1">
      <alignment horizontal="center" vertical="center"/>
    </xf>
    <xf numFmtId="0" fontId="39" fillId="0" borderId="128" xfId="0" applyFont="1" applyBorder="1" applyAlignment="1">
      <alignment horizontal="center" vertical="center"/>
    </xf>
    <xf numFmtId="0" fontId="39" fillId="0" borderId="130" xfId="0" applyFont="1" applyBorder="1" applyAlignment="1">
      <alignment horizontal="center" vertical="center"/>
    </xf>
    <xf numFmtId="0" fontId="39" fillId="6" borderId="128" xfId="0" applyFont="1" applyFill="1" applyBorder="1" applyAlignment="1">
      <alignment horizontal="center" vertical="center"/>
    </xf>
    <xf numFmtId="0" fontId="39" fillId="6" borderId="130" xfId="0" applyFont="1" applyFill="1" applyBorder="1" applyAlignment="1">
      <alignment horizontal="center" vertical="center"/>
    </xf>
    <xf numFmtId="0" fontId="65" fillId="5" borderId="5" xfId="0" applyFont="1" applyFill="1" applyBorder="1" applyAlignment="1">
      <alignment horizontal="center" vertical="center"/>
    </xf>
    <xf numFmtId="2" fontId="40" fillId="5" borderId="5" xfId="0" applyNumberFormat="1" applyFont="1" applyFill="1" applyBorder="1" applyAlignment="1">
      <alignment horizontal="center" vertical="center"/>
    </xf>
    <xf numFmtId="0" fontId="53" fillId="0" borderId="131" xfId="0" applyFont="1" applyBorder="1" applyAlignment="1">
      <alignment vertical="center" wrapText="1"/>
    </xf>
    <xf numFmtId="0" fontId="53" fillId="0" borderId="132" xfId="0" applyFont="1" applyBorder="1" applyAlignment="1">
      <alignment vertical="center" wrapText="1"/>
    </xf>
    <xf numFmtId="173" fontId="3" fillId="12" borderId="68" xfId="0" applyNumberFormat="1" applyFont="1" applyFill="1" applyBorder="1" applyAlignment="1">
      <alignment horizontal="center" vertical="center"/>
    </xf>
    <xf numFmtId="0" fontId="41" fillId="0" borderId="69" xfId="0" applyFont="1" applyBorder="1" applyAlignment="1">
      <alignment horizontal="center" vertical="center"/>
    </xf>
    <xf numFmtId="10" fontId="39" fillId="0" borderId="129" xfId="391" applyNumberFormat="1" applyFont="1" applyBorder="1" applyAlignment="1">
      <alignment horizontal="center" vertical="center"/>
    </xf>
    <xf numFmtId="10" fontId="39" fillId="0" borderId="2" xfId="391" applyNumberFormat="1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40" fillId="23" borderId="2" xfId="0" applyFont="1" applyFill="1" applyBorder="1" applyAlignment="1">
      <alignment horizontal="center" vertical="center"/>
    </xf>
    <xf numFmtId="0" fontId="39" fillId="0" borderId="0" xfId="0" applyFont="1" applyAlignment="1">
      <alignment horizontal="left" vertical="center"/>
    </xf>
    <xf numFmtId="10" fontId="39" fillId="0" borderId="25" xfId="391" applyNumberFormat="1" applyFont="1" applyBorder="1" applyAlignment="1">
      <alignment horizontal="center" vertical="center"/>
    </xf>
    <xf numFmtId="10" fontId="39" fillId="0" borderId="53" xfId="391" applyNumberFormat="1" applyFont="1" applyBorder="1" applyAlignment="1">
      <alignment horizontal="center" vertical="center"/>
    </xf>
    <xf numFmtId="1" fontId="40" fillId="13" borderId="67" xfId="0" applyNumberFormat="1" applyFont="1" applyFill="1" applyBorder="1" applyAlignment="1">
      <alignment vertical="center"/>
    </xf>
    <xf numFmtId="173" fontId="40" fillId="13" borderId="16" xfId="0" applyNumberFormat="1" applyFont="1" applyFill="1" applyBorder="1" applyAlignment="1">
      <alignment vertical="center"/>
    </xf>
    <xf numFmtId="169" fontId="5" fillId="13" borderId="84" xfId="1" applyNumberFormat="1" applyFont="1" applyFill="1" applyBorder="1" applyAlignment="1">
      <alignment horizontal="right" vertical="center"/>
    </xf>
    <xf numFmtId="0" fontId="39" fillId="0" borderId="14" xfId="0" applyFont="1" applyBorder="1" applyAlignment="1">
      <alignment horizontal="center" vertical="center"/>
    </xf>
    <xf numFmtId="0" fontId="39" fillId="7" borderId="43" xfId="0" applyFont="1" applyFill="1" applyBorder="1" applyAlignment="1">
      <alignment horizontal="center" vertical="center"/>
    </xf>
    <xf numFmtId="0" fontId="39" fillId="17" borderId="43" xfId="0" applyFont="1" applyFill="1" applyBorder="1" applyAlignment="1">
      <alignment horizontal="center" vertical="center"/>
    </xf>
    <xf numFmtId="10" fontId="58" fillId="0" borderId="5" xfId="391" applyNumberFormat="1" applyFont="1" applyBorder="1" applyAlignment="1">
      <alignment horizontal="center" vertical="center"/>
    </xf>
    <xf numFmtId="173" fontId="40" fillId="13" borderId="88" xfId="0" applyNumberFormat="1" applyFont="1" applyFill="1" applyBorder="1" applyAlignment="1">
      <alignment horizontal="center" vertical="center"/>
    </xf>
    <xf numFmtId="16" fontId="41" fillId="13" borderId="5" xfId="0" applyNumberFormat="1" applyFont="1" applyFill="1" applyBorder="1" applyAlignment="1">
      <alignment horizontal="center" vertical="center"/>
    </xf>
    <xf numFmtId="0" fontId="41" fillId="13" borderId="5" xfId="0" applyFont="1" applyFill="1" applyBorder="1" applyAlignment="1">
      <alignment horizontal="center" vertical="center"/>
    </xf>
    <xf numFmtId="0" fontId="41" fillId="13" borderId="15" xfId="0" applyFont="1" applyFill="1" applyBorder="1" applyAlignment="1">
      <alignment horizontal="center" vertical="center"/>
    </xf>
    <xf numFmtId="16" fontId="41" fillId="6" borderId="5" xfId="0" applyNumberFormat="1" applyFont="1" applyFill="1" applyBorder="1" applyAlignment="1">
      <alignment horizontal="center" vertical="center"/>
    </xf>
    <xf numFmtId="0" fontId="41" fillId="6" borderId="15" xfId="0" applyFont="1" applyFill="1" applyBorder="1" applyAlignment="1">
      <alignment horizontal="center" vertical="center"/>
    </xf>
    <xf numFmtId="0" fontId="48" fillId="6" borderId="5" xfId="0" applyFont="1" applyFill="1" applyBorder="1" applyAlignment="1">
      <alignment horizontal="center" vertical="center" wrapText="1"/>
    </xf>
    <xf numFmtId="170" fontId="5" fillId="0" borderId="23" xfId="1" applyNumberFormat="1" applyFont="1" applyBorder="1" applyAlignment="1">
      <alignment horizontal="center" vertical="center"/>
    </xf>
    <xf numFmtId="170" fontId="5" fillId="0" borderId="8" xfId="1" applyNumberFormat="1" applyFont="1" applyBorder="1" applyAlignment="1">
      <alignment horizontal="center" vertical="center"/>
    </xf>
    <xf numFmtId="0" fontId="40" fillId="6" borderId="5" xfId="0" applyFont="1" applyFill="1" applyBorder="1" applyAlignment="1">
      <alignment horizontal="center" vertical="center"/>
    </xf>
    <xf numFmtId="0" fontId="39" fillId="6" borderId="5" xfId="0" applyFont="1" applyFill="1" applyBorder="1" applyAlignment="1">
      <alignment horizontal="center" vertical="center"/>
    </xf>
    <xf numFmtId="0" fontId="41" fillId="6" borderId="15" xfId="0" applyFont="1" applyFill="1" applyBorder="1" applyAlignment="1">
      <alignment horizontal="center" vertical="center" wrapText="1"/>
    </xf>
    <xf numFmtId="0" fontId="41" fillId="6" borderId="5" xfId="0" applyFont="1" applyFill="1" applyBorder="1" applyAlignment="1">
      <alignment horizontal="center" vertical="center" wrapText="1"/>
    </xf>
    <xf numFmtId="0" fontId="40" fillId="6" borderId="2" xfId="0" applyFont="1" applyFill="1" applyBorder="1" applyAlignment="1">
      <alignment horizontal="center" vertical="center"/>
    </xf>
    <xf numFmtId="16" fontId="41" fillId="6" borderId="15" xfId="0" applyNumberFormat="1" applyFont="1" applyFill="1" applyBorder="1" applyAlignment="1">
      <alignment horizontal="center" vertical="center"/>
    </xf>
    <xf numFmtId="0" fontId="40" fillId="13" borderId="70" xfId="0" applyFont="1" applyFill="1" applyBorder="1" applyAlignment="1">
      <alignment horizontal="center" vertical="center"/>
    </xf>
    <xf numFmtId="0" fontId="41" fillId="13" borderId="100" xfId="0" applyFont="1" applyFill="1" applyBorder="1" applyAlignment="1">
      <alignment horizontal="center" vertical="center"/>
    </xf>
    <xf numFmtId="0" fontId="41" fillId="13" borderId="2" xfId="0" applyFont="1" applyFill="1" applyBorder="1" applyAlignment="1">
      <alignment horizontal="center" vertical="center"/>
    </xf>
    <xf numFmtId="16" fontId="41" fillId="13" borderId="15" xfId="0" applyNumberFormat="1" applyFont="1" applyFill="1" applyBorder="1" applyAlignment="1">
      <alignment horizontal="center" vertical="center"/>
    </xf>
    <xf numFmtId="168" fontId="56" fillId="24" borderId="2" xfId="0" applyNumberFormat="1" applyFont="1" applyFill="1" applyBorder="1" applyAlignment="1">
      <alignment horizontal="center" vertical="center"/>
    </xf>
    <xf numFmtId="168" fontId="56" fillId="24" borderId="4" xfId="0" applyNumberFormat="1" applyFont="1" applyFill="1" applyBorder="1" applyAlignment="1">
      <alignment horizontal="center" vertical="center"/>
    </xf>
    <xf numFmtId="0" fontId="56" fillId="24" borderId="2" xfId="0" applyFont="1" applyFill="1" applyBorder="1" applyAlignment="1">
      <alignment horizontal="center" vertical="center"/>
    </xf>
    <xf numFmtId="0" fontId="56" fillId="24" borderId="4" xfId="0" applyFont="1" applyFill="1" applyBorder="1" applyAlignment="1">
      <alignment horizontal="center" vertical="center"/>
    </xf>
    <xf numFmtId="173" fontId="56" fillId="0" borderId="2" xfId="0" applyNumberFormat="1" applyFont="1" applyBorder="1" applyAlignment="1">
      <alignment horizontal="center" vertical="center"/>
    </xf>
    <xf numFmtId="173" fontId="56" fillId="0" borderId="4" xfId="0" applyNumberFormat="1" applyFont="1" applyBorder="1" applyAlignment="1">
      <alignment horizontal="center" vertical="center"/>
    </xf>
    <xf numFmtId="0" fontId="59" fillId="13" borderId="5" xfId="0" applyFont="1" applyFill="1" applyBorder="1" applyAlignment="1">
      <alignment horizontal="center" vertical="center" textRotation="90"/>
    </xf>
    <xf numFmtId="0" fontId="59" fillId="13" borderId="2" xfId="0" applyFont="1" applyFill="1" applyBorder="1" applyAlignment="1">
      <alignment horizontal="center" vertical="center" textRotation="90"/>
    </xf>
    <xf numFmtId="0" fontId="56" fillId="24" borderId="5" xfId="0" applyFont="1" applyFill="1" applyBorder="1" applyAlignment="1">
      <alignment horizontal="center" vertical="center" wrapText="1"/>
    </xf>
    <xf numFmtId="173" fontId="58" fillId="0" borderId="2" xfId="0" applyNumberFormat="1" applyFont="1" applyBorder="1" applyAlignment="1">
      <alignment horizontal="center" vertical="center"/>
    </xf>
    <xf numFmtId="173" fontId="58" fillId="0" borderId="4" xfId="0" applyNumberFormat="1" applyFont="1" applyBorder="1" applyAlignment="1">
      <alignment horizontal="center" vertical="center"/>
    </xf>
    <xf numFmtId="0" fontId="57" fillId="0" borderId="5" xfId="0" applyFont="1" applyBorder="1" applyAlignment="1">
      <alignment horizontal="center" wrapText="1"/>
    </xf>
    <xf numFmtId="0" fontId="57" fillId="0" borderId="42" xfId="0" applyFont="1" applyBorder="1" applyAlignment="1">
      <alignment horizontal="center" vertical="center" wrapText="1"/>
    </xf>
    <xf numFmtId="0" fontId="57" fillId="0" borderId="17" xfId="0" applyFont="1" applyBorder="1" applyAlignment="1">
      <alignment horizontal="center" vertical="center" wrapText="1"/>
    </xf>
    <xf numFmtId="0" fontId="57" fillId="0" borderId="41" xfId="0" applyFont="1" applyBorder="1" applyAlignment="1">
      <alignment horizontal="center" vertical="center" wrapText="1"/>
    </xf>
    <xf numFmtId="0" fontId="57" fillId="0" borderId="90" xfId="0" applyFont="1" applyBorder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57" fillId="0" borderId="94" xfId="0" applyFont="1" applyBorder="1" applyAlignment="1">
      <alignment horizontal="center" vertical="center" wrapText="1"/>
    </xf>
    <xf numFmtId="0" fontId="57" fillId="0" borderId="100" xfId="0" applyFont="1" applyBorder="1" applyAlignment="1">
      <alignment horizontal="center" vertical="center" wrapText="1"/>
    </xf>
    <xf numFmtId="0" fontId="57" fillId="0" borderId="13" xfId="0" applyFont="1" applyBorder="1" applyAlignment="1">
      <alignment horizontal="center" vertical="center" wrapText="1"/>
    </xf>
    <xf numFmtId="0" fontId="57" fillId="0" borderId="97" xfId="0" applyFont="1" applyBorder="1" applyAlignment="1">
      <alignment horizontal="center" vertical="center" wrapText="1"/>
    </xf>
    <xf numFmtId="0" fontId="55" fillId="13" borderId="5" xfId="0" applyFont="1" applyFill="1" applyBorder="1" applyAlignment="1">
      <alignment horizontal="center" vertical="center" textRotation="90"/>
    </xf>
    <xf numFmtId="0" fontId="4" fillId="0" borderId="78" xfId="0" applyFont="1" applyBorder="1" applyAlignment="1">
      <alignment horizontal="center" vertical="center"/>
    </xf>
    <xf numFmtId="175" fontId="5" fillId="0" borderId="0" xfId="0" applyNumberFormat="1" applyFont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7" borderId="76" xfId="0" applyFont="1" applyFill="1" applyBorder="1" applyAlignment="1">
      <alignment horizontal="center" vertical="center"/>
    </xf>
    <xf numFmtId="0" fontId="5" fillId="7" borderId="77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0" fillId="6" borderId="33" xfId="0" applyFont="1" applyFill="1" applyBorder="1" applyAlignment="1">
      <alignment horizontal="center" vertical="center"/>
    </xf>
    <xf numFmtId="0" fontId="16" fillId="5" borderId="34" xfId="0" applyFont="1" applyFill="1" applyBorder="1" applyAlignment="1">
      <alignment horizontal="center" vertical="center"/>
    </xf>
    <xf numFmtId="0" fontId="16" fillId="5" borderId="35" xfId="0" applyFont="1" applyFill="1" applyBorder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174" fontId="5" fillId="0" borderId="0" xfId="0" applyNumberFormat="1" applyFont="1" applyAlignment="1">
      <alignment horizontal="center" vertical="center"/>
    </xf>
    <xf numFmtId="0" fontId="5" fillId="7" borderId="81" xfId="0" applyFont="1" applyFill="1" applyBorder="1" applyAlignment="1">
      <alignment horizontal="center" vertical="center"/>
    </xf>
    <xf numFmtId="0" fontId="5" fillId="7" borderId="82" xfId="0" applyFont="1" applyFill="1" applyBorder="1" applyAlignment="1">
      <alignment horizontal="center" vertical="center"/>
    </xf>
    <xf numFmtId="0" fontId="5" fillId="6" borderId="80" xfId="0" applyFont="1" applyFill="1" applyBorder="1" applyAlignment="1">
      <alignment horizontal="center" vertical="center"/>
    </xf>
    <xf numFmtId="0" fontId="5" fillId="6" borderId="79" xfId="0" applyFont="1" applyFill="1" applyBorder="1" applyAlignment="1">
      <alignment horizontal="center" vertical="center"/>
    </xf>
    <xf numFmtId="0" fontId="5" fillId="6" borderId="83" xfId="0" applyFont="1" applyFill="1" applyBorder="1" applyAlignment="1">
      <alignment horizontal="center" vertical="center"/>
    </xf>
    <xf numFmtId="0" fontId="5" fillId="6" borderId="82" xfId="0" applyFont="1" applyFill="1" applyBorder="1" applyAlignment="1">
      <alignment horizontal="center" vertical="center"/>
    </xf>
    <xf numFmtId="0" fontId="40" fillId="13" borderId="67" xfId="0" applyFont="1" applyFill="1" applyBorder="1" applyAlignment="1">
      <alignment horizontal="center" vertical="center"/>
    </xf>
    <xf numFmtId="0" fontId="40" fillId="13" borderId="16" xfId="0" applyFont="1" applyFill="1" applyBorder="1" applyAlignment="1">
      <alignment horizontal="center" vertical="center"/>
    </xf>
    <xf numFmtId="0" fontId="40" fillId="13" borderId="69" xfId="0" applyFont="1" applyFill="1" applyBorder="1" applyAlignment="1">
      <alignment horizontal="center" vertical="center"/>
    </xf>
    <xf numFmtId="0" fontId="40" fillId="13" borderId="15" xfId="0" applyFont="1" applyFill="1" applyBorder="1" applyAlignment="1">
      <alignment horizontal="center" vertical="center"/>
    </xf>
    <xf numFmtId="0" fontId="42" fillId="16" borderId="13" xfId="0" applyFont="1" applyFill="1" applyBorder="1" applyAlignment="1">
      <alignment horizontal="center" vertical="center" wrapText="1"/>
    </xf>
    <xf numFmtId="1" fontId="40" fillId="13" borderId="88" xfId="0" applyNumberFormat="1" applyFont="1" applyFill="1" applyBorder="1" applyAlignment="1">
      <alignment horizontal="center" vertical="center"/>
    </xf>
    <xf numFmtId="1" fontId="40" fillId="13" borderId="16" xfId="0" applyNumberFormat="1" applyFont="1" applyFill="1" applyBorder="1" applyAlignment="1">
      <alignment horizontal="center" vertical="center"/>
    </xf>
    <xf numFmtId="1" fontId="40" fillId="13" borderId="69" xfId="0" applyNumberFormat="1" applyFont="1" applyFill="1" applyBorder="1" applyAlignment="1">
      <alignment horizontal="center" vertical="center"/>
    </xf>
    <xf numFmtId="0" fontId="40" fillId="17" borderId="48" xfId="0" applyFont="1" applyFill="1" applyBorder="1" applyAlignment="1">
      <alignment horizontal="center" vertical="center"/>
    </xf>
    <xf numFmtId="0" fontId="40" fillId="17" borderId="50" xfId="0" applyFont="1" applyFill="1" applyBorder="1" applyAlignment="1">
      <alignment horizontal="center" vertical="center"/>
    </xf>
    <xf numFmtId="16" fontId="40" fillId="7" borderId="26" xfId="0" applyNumberFormat="1" applyFont="1" applyFill="1" applyBorder="1" applyAlignment="1">
      <alignment horizontal="center" vertical="center"/>
    </xf>
    <xf numFmtId="0" fontId="40" fillId="17" borderId="43" xfId="0" applyFont="1" applyFill="1" applyBorder="1" applyAlignment="1">
      <alignment horizontal="center" vertical="center"/>
    </xf>
    <xf numFmtId="16" fontId="40" fillId="17" borderId="43" xfId="0" applyNumberFormat="1" applyFont="1" applyFill="1" applyBorder="1" applyAlignment="1">
      <alignment horizontal="center" vertical="center"/>
    </xf>
    <xf numFmtId="0" fontId="40" fillId="13" borderId="88" xfId="0" applyFont="1" applyFill="1" applyBorder="1" applyAlignment="1">
      <alignment horizontal="center" vertical="center"/>
    </xf>
    <xf numFmtId="0" fontId="42" fillId="16" borderId="13" xfId="0" applyFont="1" applyFill="1" applyBorder="1" applyAlignment="1">
      <alignment horizontal="left" vertical="center" wrapText="1"/>
    </xf>
    <xf numFmtId="0" fontId="43" fillId="17" borderId="48" xfId="0" applyFont="1" applyFill="1" applyBorder="1" applyAlignment="1">
      <alignment horizontal="center" vertical="center"/>
    </xf>
    <xf numFmtId="0" fontId="43" fillId="17" borderId="50" xfId="0" applyFont="1" applyFill="1" applyBorder="1" applyAlignment="1">
      <alignment horizontal="center" vertical="center"/>
    </xf>
    <xf numFmtId="16" fontId="40" fillId="7" borderId="43" xfId="0" applyNumberFormat="1" applyFont="1" applyFill="1" applyBorder="1" applyAlignment="1">
      <alignment horizontal="center" vertical="center"/>
    </xf>
    <xf numFmtId="0" fontId="40" fillId="13" borderId="87" xfId="0" applyFont="1" applyFill="1" applyBorder="1" applyAlignment="1">
      <alignment horizontal="center" vertical="center"/>
    </xf>
    <xf numFmtId="0" fontId="40" fillId="13" borderId="85" xfId="0" applyFont="1" applyFill="1" applyBorder="1" applyAlignment="1">
      <alignment horizontal="center" vertical="center"/>
    </xf>
    <xf numFmtId="16" fontId="43" fillId="17" borderId="43" xfId="0" applyNumberFormat="1" applyFont="1" applyFill="1" applyBorder="1" applyAlignment="1">
      <alignment horizontal="center" vertical="center"/>
    </xf>
    <xf numFmtId="0" fontId="40" fillId="13" borderId="14" xfId="0" applyFont="1" applyFill="1" applyBorder="1" applyAlignment="1">
      <alignment horizontal="center" vertical="center"/>
    </xf>
    <xf numFmtId="0" fontId="43" fillId="17" borderId="49" xfId="0" applyFont="1" applyFill="1" applyBorder="1" applyAlignment="1">
      <alignment horizontal="center" vertical="center"/>
    </xf>
    <xf numFmtId="16" fontId="43" fillId="17" borderId="48" xfId="0" applyNumberFormat="1" applyFont="1" applyFill="1" applyBorder="1" applyAlignment="1">
      <alignment horizontal="center" vertical="center"/>
    </xf>
    <xf numFmtId="16" fontId="43" fillId="17" borderId="49" xfId="0" applyNumberFormat="1" applyFont="1" applyFill="1" applyBorder="1" applyAlignment="1">
      <alignment horizontal="center" vertical="center"/>
    </xf>
    <xf numFmtId="16" fontId="43" fillId="17" borderId="50" xfId="0" applyNumberFormat="1" applyFont="1" applyFill="1" applyBorder="1" applyAlignment="1">
      <alignment horizontal="center" vertical="center"/>
    </xf>
    <xf numFmtId="16" fontId="40" fillId="7" borderId="48" xfId="0" applyNumberFormat="1" applyFont="1" applyFill="1" applyBorder="1" applyAlignment="1">
      <alignment horizontal="center" vertical="center"/>
    </xf>
    <xf numFmtId="16" fontId="40" fillId="7" borderId="49" xfId="0" applyNumberFormat="1" applyFont="1" applyFill="1" applyBorder="1" applyAlignment="1">
      <alignment horizontal="center" vertical="center"/>
    </xf>
    <xf numFmtId="16" fontId="40" fillId="7" borderId="50" xfId="0" applyNumberFormat="1" applyFont="1" applyFill="1" applyBorder="1" applyAlignment="1">
      <alignment horizontal="center" vertical="center"/>
    </xf>
    <xf numFmtId="0" fontId="40" fillId="13" borderId="60" xfId="0" applyFont="1" applyFill="1" applyBorder="1" applyAlignment="1">
      <alignment horizontal="center" vertical="center"/>
    </xf>
    <xf numFmtId="173" fontId="40" fillId="13" borderId="67" xfId="0" applyNumberFormat="1" applyFont="1" applyFill="1" applyBorder="1" applyAlignment="1">
      <alignment horizontal="center" vertical="center"/>
    </xf>
    <xf numFmtId="173" fontId="40" fillId="13" borderId="16" xfId="0" applyNumberFormat="1" applyFont="1" applyFill="1" applyBorder="1" applyAlignment="1">
      <alignment horizontal="center" vertical="center"/>
    </xf>
    <xf numFmtId="173" fontId="40" fillId="13" borderId="69" xfId="0" applyNumberFormat="1" applyFont="1" applyFill="1" applyBorder="1" applyAlignment="1">
      <alignment horizontal="center" vertical="center"/>
    </xf>
    <xf numFmtId="173" fontId="40" fillId="13" borderId="88" xfId="0" applyNumberFormat="1" applyFont="1" applyFill="1" applyBorder="1" applyAlignment="1">
      <alignment horizontal="center" vertical="center"/>
    </xf>
    <xf numFmtId="0" fontId="40" fillId="17" borderId="49" xfId="0" applyFont="1" applyFill="1" applyBorder="1" applyAlignment="1">
      <alignment horizontal="center" vertical="center"/>
    </xf>
    <xf numFmtId="0" fontId="40" fillId="17" borderId="66" xfId="0" applyFont="1" applyFill="1" applyBorder="1" applyAlignment="1">
      <alignment horizontal="center" vertical="center"/>
    </xf>
    <xf numFmtId="0" fontId="40" fillId="17" borderId="47" xfId="0" applyFont="1" applyFill="1" applyBorder="1" applyAlignment="1">
      <alignment horizontal="center" vertical="center"/>
    </xf>
    <xf numFmtId="0" fontId="40" fillId="17" borderId="44" xfId="0" applyFont="1" applyFill="1" applyBorder="1" applyAlignment="1">
      <alignment horizontal="center" vertical="center"/>
    </xf>
    <xf numFmtId="0" fontId="40" fillId="17" borderId="46" xfId="0" applyFont="1" applyFill="1" applyBorder="1" applyAlignment="1">
      <alignment horizontal="center" vertical="center"/>
    </xf>
    <xf numFmtId="0" fontId="40" fillId="0" borderId="130" xfId="0" applyFont="1" applyBorder="1" applyAlignment="1">
      <alignment horizontal="left" vertical="center"/>
    </xf>
    <xf numFmtId="0" fontId="40" fillId="0" borderId="2" xfId="0" applyFont="1" applyBorder="1" applyAlignment="1">
      <alignment horizontal="left" vertical="center"/>
    </xf>
    <xf numFmtId="0" fontId="40" fillId="0" borderId="128" xfId="0" applyFont="1" applyBorder="1" applyAlignment="1">
      <alignment horizontal="left" vertical="center"/>
    </xf>
    <xf numFmtId="0" fontId="40" fillId="0" borderId="129" xfId="0" applyFont="1" applyBorder="1" applyAlignment="1">
      <alignment horizontal="left" vertical="center"/>
    </xf>
    <xf numFmtId="0" fontId="64" fillId="0" borderId="0" xfId="0" applyFont="1" applyAlignment="1">
      <alignment horizontal="center" vertical="center"/>
    </xf>
    <xf numFmtId="0" fontId="64" fillId="0" borderId="125" xfId="0" applyFont="1" applyBorder="1" applyAlignment="1">
      <alignment horizontal="center" vertical="center"/>
    </xf>
    <xf numFmtId="0" fontId="64" fillId="0" borderId="86" xfId="0" applyFont="1" applyBorder="1" applyAlignment="1">
      <alignment horizontal="center" vertical="center"/>
    </xf>
    <xf numFmtId="0" fontId="64" fillId="0" borderId="126" xfId="0" applyFont="1" applyBorder="1" applyAlignment="1">
      <alignment horizontal="center" vertical="center"/>
    </xf>
    <xf numFmtId="0" fontId="40" fillId="5" borderId="18" xfId="0" applyFont="1" applyFill="1" applyBorder="1" applyAlignment="1">
      <alignment horizontal="center" vertical="center"/>
    </xf>
    <xf numFmtId="0" fontId="40" fillId="5" borderId="22" xfId="0" applyFont="1" applyFill="1" applyBorder="1" applyAlignment="1">
      <alignment horizontal="center" vertical="center"/>
    </xf>
    <xf numFmtId="173" fontId="40" fillId="13" borderId="15" xfId="0" applyNumberFormat="1" applyFont="1" applyFill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40" fillId="13" borderId="67" xfId="0" applyFont="1" applyFill="1" applyBorder="1" applyAlignment="1">
      <alignment horizontal="center" vertical="center" wrapText="1"/>
    </xf>
    <xf numFmtId="0" fontId="40" fillId="13" borderId="16" xfId="0" applyFont="1" applyFill="1" applyBorder="1" applyAlignment="1">
      <alignment horizontal="center" vertical="center" wrapText="1"/>
    </xf>
    <xf numFmtId="0" fontId="40" fillId="13" borderId="69" xfId="0" applyFont="1" applyFill="1" applyBorder="1" applyAlignment="1">
      <alignment horizontal="center" vertical="center" wrapText="1"/>
    </xf>
    <xf numFmtId="0" fontId="38" fillId="14" borderId="0" xfId="0" applyFont="1" applyFill="1" applyAlignment="1">
      <alignment horizontal="center" vertical="center"/>
    </xf>
    <xf numFmtId="0" fontId="8" fillId="18" borderId="48" xfId="0" applyFont="1" applyFill="1" applyBorder="1" applyAlignment="1">
      <alignment horizontal="center" vertical="center"/>
    </xf>
    <xf numFmtId="0" fontId="8" fillId="18" borderId="66" xfId="0" applyFont="1" applyFill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173" fontId="3" fillId="17" borderId="56" xfId="0" applyNumberFormat="1" applyFont="1" applyFill="1" applyBorder="1" applyAlignment="1">
      <alignment horizontal="center" vertical="center"/>
    </xf>
    <xf numFmtId="173" fontId="3" fillId="17" borderId="58" xfId="0" applyNumberFormat="1" applyFont="1" applyFill="1" applyBorder="1" applyAlignment="1">
      <alignment horizontal="center" vertical="center"/>
    </xf>
    <xf numFmtId="173" fontId="3" fillId="17" borderId="57" xfId="0" applyNumberFormat="1" applyFont="1" applyFill="1" applyBorder="1" applyAlignment="1">
      <alignment horizontal="center" vertical="center"/>
    </xf>
    <xf numFmtId="173" fontId="3" fillId="17" borderId="42" xfId="0" applyNumberFormat="1" applyFont="1" applyFill="1" applyBorder="1" applyAlignment="1">
      <alignment horizontal="center" vertical="center"/>
    </xf>
    <xf numFmtId="173" fontId="3" fillId="17" borderId="17" xfId="0" applyNumberFormat="1" applyFont="1" applyFill="1" applyBorder="1" applyAlignment="1">
      <alignment horizontal="center" vertical="center"/>
    </xf>
    <xf numFmtId="173" fontId="3" fillId="17" borderId="41" xfId="0" applyNumberFormat="1" applyFont="1" applyFill="1" applyBorder="1" applyAlignment="1">
      <alignment horizontal="center" vertical="center"/>
    </xf>
    <xf numFmtId="0" fontId="8" fillId="18" borderId="63" xfId="0" applyFont="1" applyFill="1" applyBorder="1" applyAlignment="1">
      <alignment horizontal="center" vertical="center"/>
    </xf>
    <xf numFmtId="0" fontId="8" fillId="18" borderId="64" xfId="0" applyFont="1" applyFill="1" applyBorder="1" applyAlignment="1">
      <alignment horizontal="center" vertical="center"/>
    </xf>
    <xf numFmtId="173" fontId="8" fillId="18" borderId="47" xfId="0" applyNumberFormat="1" applyFont="1" applyFill="1" applyBorder="1" applyAlignment="1">
      <alignment horizontal="center" vertical="center"/>
    </xf>
    <xf numFmtId="173" fontId="8" fillId="18" borderId="49" xfId="0" applyNumberFormat="1" applyFont="1" applyFill="1" applyBorder="1" applyAlignment="1">
      <alignment horizontal="center" vertical="center"/>
    </xf>
    <xf numFmtId="173" fontId="8" fillId="18" borderId="66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/>
    </xf>
    <xf numFmtId="173" fontId="3" fillId="13" borderId="16" xfId="0" applyNumberFormat="1" applyFont="1" applyFill="1" applyBorder="1" applyAlignment="1">
      <alignment horizontal="center" vertical="center"/>
    </xf>
    <xf numFmtId="173" fontId="3" fillId="13" borderId="69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/>
    </xf>
    <xf numFmtId="0" fontId="3" fillId="13" borderId="67" xfId="0" applyFont="1" applyFill="1" applyBorder="1" applyAlignment="1">
      <alignment horizontal="center" vertical="center"/>
    </xf>
    <xf numFmtId="0" fontId="3" fillId="13" borderId="16" xfId="0" applyFont="1" applyFill="1" applyBorder="1" applyAlignment="1">
      <alignment horizontal="center" vertical="center"/>
    </xf>
    <xf numFmtId="0" fontId="3" fillId="13" borderId="69" xfId="0" applyFont="1" applyFill="1" applyBorder="1" applyAlignment="1">
      <alignment horizontal="center" vertical="center"/>
    </xf>
    <xf numFmtId="0" fontId="3" fillId="5" borderId="70" xfId="0" applyFont="1" applyFill="1" applyBorder="1" applyAlignment="1">
      <alignment horizontal="center" vertical="center"/>
    </xf>
    <xf numFmtId="173" fontId="3" fillId="13" borderId="67" xfId="0" applyNumberFormat="1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13" borderId="15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16" fontId="0" fillId="0" borderId="5" xfId="0" applyNumberFormat="1" applyBorder="1" applyAlignment="1">
      <alignment horizontal="center" vertical="top"/>
    </xf>
    <xf numFmtId="173" fontId="3" fillId="13" borderId="15" xfId="0" applyNumberFormat="1" applyFont="1" applyFill="1" applyBorder="1" applyAlignment="1">
      <alignment horizontal="center" vertical="center"/>
    </xf>
  </cellXfs>
  <cellStyles count="609">
    <cellStyle name="_Book3" xfId="2" xr:uid="{00000000-0005-0000-0000-000000000000}"/>
    <cellStyle name="_JC_ProdPlan_2011update29-03-11  with OT 30% (2)" xfId="3" xr:uid="{00000000-0005-0000-0000-000001000000}"/>
    <cellStyle name="_JC_ProdPlan_2011update29-03-11  with OT 30% (2) 2" xfId="4" xr:uid="{00000000-0005-0000-0000-000002000000}"/>
    <cellStyle name="_SU09  Component Request" xfId="5" xr:uid="{00000000-0005-0000-0000-000003000000}"/>
    <cellStyle name="Comma" xfId="1" builtinId="3"/>
    <cellStyle name="Comma [0] 2" xfId="6" xr:uid="{00000000-0005-0000-0000-000005000000}"/>
    <cellStyle name="Comma [0] 2 2" xfId="7" xr:uid="{00000000-0005-0000-0000-000006000000}"/>
    <cellStyle name="Comma [0] 2 2 2" xfId="8" xr:uid="{00000000-0005-0000-0000-000007000000}"/>
    <cellStyle name="Comma [0] 2 2 2 2" xfId="9" xr:uid="{00000000-0005-0000-0000-000008000000}"/>
    <cellStyle name="Comma [0] 2 3" xfId="10" xr:uid="{00000000-0005-0000-0000-000009000000}"/>
    <cellStyle name="Comma [0] 2 3 2" xfId="11" xr:uid="{00000000-0005-0000-0000-00000A000000}"/>
    <cellStyle name="Comma [0] 2 4" xfId="12" xr:uid="{00000000-0005-0000-0000-00000B000000}"/>
    <cellStyle name="Comma [0] 3" xfId="13" xr:uid="{00000000-0005-0000-0000-00000C000000}"/>
    <cellStyle name="Comma [0] 3 2" xfId="14" xr:uid="{00000000-0005-0000-0000-00000D000000}"/>
    <cellStyle name="Comma [0] 3 3" xfId="15" xr:uid="{00000000-0005-0000-0000-00000E000000}"/>
    <cellStyle name="Comma [0] 4" xfId="16" xr:uid="{00000000-0005-0000-0000-00000F000000}"/>
    <cellStyle name="Comma [0] 4 2" xfId="17" xr:uid="{00000000-0005-0000-0000-000010000000}"/>
    <cellStyle name="Comma [0] 4 3" xfId="18" xr:uid="{00000000-0005-0000-0000-000011000000}"/>
    <cellStyle name="Comma [0] 5" xfId="19" xr:uid="{00000000-0005-0000-0000-000012000000}"/>
    <cellStyle name="Comma [0] 6" xfId="20" xr:uid="{00000000-0005-0000-0000-000013000000}"/>
    <cellStyle name="Comma [0] 7" xfId="21" xr:uid="{00000000-0005-0000-0000-000014000000}"/>
    <cellStyle name="Comma 10" xfId="402" xr:uid="{00000000-0005-0000-0000-000015000000}"/>
    <cellStyle name="Comma 10 2" xfId="22" xr:uid="{00000000-0005-0000-0000-000016000000}"/>
    <cellStyle name="Comma 100" xfId="392" xr:uid="{00000000-0005-0000-0000-000017000000}"/>
    <cellStyle name="Comma 100 2" xfId="495" xr:uid="{00000000-0005-0000-0000-000018000000}"/>
    <cellStyle name="Comma 101" xfId="435" xr:uid="{00000000-0005-0000-0000-000019000000}"/>
    <cellStyle name="Comma 102" xfId="418" xr:uid="{00000000-0005-0000-0000-00001A000000}"/>
    <cellStyle name="Comma 103" xfId="434" xr:uid="{00000000-0005-0000-0000-00001B000000}"/>
    <cellStyle name="Comma 104" xfId="437" xr:uid="{00000000-0005-0000-0000-00001C000000}"/>
    <cellStyle name="Comma 105" xfId="436" xr:uid="{00000000-0005-0000-0000-00001D000000}"/>
    <cellStyle name="Comma 106" xfId="439" xr:uid="{00000000-0005-0000-0000-00001E000000}"/>
    <cellStyle name="Comma 107" xfId="438" xr:uid="{00000000-0005-0000-0000-00001F000000}"/>
    <cellStyle name="Comma 108" xfId="440" xr:uid="{00000000-0005-0000-0000-000020000000}"/>
    <cellStyle name="Comma 109" xfId="441" xr:uid="{00000000-0005-0000-0000-000021000000}"/>
    <cellStyle name="Comma 11" xfId="403" xr:uid="{00000000-0005-0000-0000-000022000000}"/>
    <cellStyle name="Comma 11 2" xfId="23" xr:uid="{00000000-0005-0000-0000-000023000000}"/>
    <cellStyle name="Comma 11 3" xfId="24" xr:uid="{00000000-0005-0000-0000-000024000000}"/>
    <cellStyle name="Comma 110" xfId="462" xr:uid="{00000000-0005-0000-0000-000025000000}"/>
    <cellStyle name="Comma 111" xfId="463" xr:uid="{00000000-0005-0000-0000-000026000000}"/>
    <cellStyle name="Comma 112" xfId="496" xr:uid="{00000000-0005-0000-0000-000027000000}"/>
    <cellStyle name="Comma 12" xfId="404" xr:uid="{00000000-0005-0000-0000-000028000000}"/>
    <cellStyle name="Comma 12 2" xfId="25" xr:uid="{00000000-0005-0000-0000-000029000000}"/>
    <cellStyle name="Comma 13" xfId="405" xr:uid="{00000000-0005-0000-0000-00002A000000}"/>
    <cellStyle name="Comma 13 2" xfId="26" xr:uid="{00000000-0005-0000-0000-00002B000000}"/>
    <cellStyle name="Comma 14" xfId="406" xr:uid="{00000000-0005-0000-0000-00002C000000}"/>
    <cellStyle name="Comma 14 2" xfId="27" xr:uid="{00000000-0005-0000-0000-00002D000000}"/>
    <cellStyle name="Comma 15" xfId="28" xr:uid="{00000000-0005-0000-0000-00002E000000}"/>
    <cellStyle name="Comma 15 2" xfId="29" xr:uid="{00000000-0005-0000-0000-00002F000000}"/>
    <cellStyle name="Comma 16" xfId="30" xr:uid="{00000000-0005-0000-0000-000030000000}"/>
    <cellStyle name="Comma 16 2" xfId="31" xr:uid="{00000000-0005-0000-0000-000031000000}"/>
    <cellStyle name="Comma 17" xfId="32" xr:uid="{00000000-0005-0000-0000-000032000000}"/>
    <cellStyle name="Comma 17 2" xfId="408" xr:uid="{00000000-0005-0000-0000-000033000000}"/>
    <cellStyle name="Comma 18" xfId="33" xr:uid="{00000000-0005-0000-0000-000034000000}"/>
    <cellStyle name="Comma 18 2" xfId="409" xr:uid="{00000000-0005-0000-0000-000035000000}"/>
    <cellStyle name="Comma 19" xfId="34" xr:uid="{00000000-0005-0000-0000-000036000000}"/>
    <cellStyle name="Comma 19 2" xfId="35" xr:uid="{00000000-0005-0000-0000-000037000000}"/>
    <cellStyle name="Comma 19 2 2" xfId="36" xr:uid="{00000000-0005-0000-0000-000038000000}"/>
    <cellStyle name="Comma 19 3" xfId="37" xr:uid="{00000000-0005-0000-0000-000039000000}"/>
    <cellStyle name="Comma 2" xfId="38" xr:uid="{00000000-0005-0000-0000-00003A000000}"/>
    <cellStyle name="Comma 2 10" xfId="39" xr:uid="{00000000-0005-0000-0000-00003B000000}"/>
    <cellStyle name="Comma 2 10 2" xfId="40" xr:uid="{00000000-0005-0000-0000-00003C000000}"/>
    <cellStyle name="Comma 2 11" xfId="41" xr:uid="{00000000-0005-0000-0000-00003D000000}"/>
    <cellStyle name="Comma 2 12" xfId="42" xr:uid="{00000000-0005-0000-0000-00003E000000}"/>
    <cellStyle name="Comma 2 2" xfId="43" xr:uid="{00000000-0005-0000-0000-00003F000000}"/>
    <cellStyle name="Comma 2 2 2" xfId="44" xr:uid="{00000000-0005-0000-0000-000040000000}"/>
    <cellStyle name="Comma 2 2 2 2" xfId="474" xr:uid="{00000000-0005-0000-0000-000041000000}"/>
    <cellStyle name="Comma 2 2 3" xfId="45" xr:uid="{00000000-0005-0000-0000-000042000000}"/>
    <cellStyle name="Comma 2 2 4" xfId="46" xr:uid="{00000000-0005-0000-0000-000043000000}"/>
    <cellStyle name="Comma 2 2 5" xfId="47" xr:uid="{00000000-0005-0000-0000-000044000000}"/>
    <cellStyle name="Comma 2 2 6" xfId="48" xr:uid="{00000000-0005-0000-0000-000045000000}"/>
    <cellStyle name="Comma 2 2 7" xfId="49" xr:uid="{00000000-0005-0000-0000-000046000000}"/>
    <cellStyle name="Comma 2 2 8" xfId="50" xr:uid="{00000000-0005-0000-0000-000047000000}"/>
    <cellStyle name="Comma 2 3" xfId="51" xr:uid="{00000000-0005-0000-0000-000048000000}"/>
    <cellStyle name="Comma 2 3 2" xfId="52" xr:uid="{00000000-0005-0000-0000-000049000000}"/>
    <cellStyle name="Comma 2 3 3" xfId="476" xr:uid="{00000000-0005-0000-0000-00004A000000}"/>
    <cellStyle name="Comma 2 4" xfId="53" xr:uid="{00000000-0005-0000-0000-00004B000000}"/>
    <cellStyle name="Comma 2 4 2" xfId="54" xr:uid="{00000000-0005-0000-0000-00004C000000}"/>
    <cellStyle name="Comma 2 5" xfId="55" xr:uid="{00000000-0005-0000-0000-00004D000000}"/>
    <cellStyle name="Comma 2 5 2" xfId="56" xr:uid="{00000000-0005-0000-0000-00004E000000}"/>
    <cellStyle name="Comma 2 6" xfId="57" xr:uid="{00000000-0005-0000-0000-00004F000000}"/>
    <cellStyle name="Comma 2 6 2" xfId="58" xr:uid="{00000000-0005-0000-0000-000050000000}"/>
    <cellStyle name="Comma 2 7" xfId="59" xr:uid="{00000000-0005-0000-0000-000051000000}"/>
    <cellStyle name="Comma 2 7 2" xfId="60" xr:uid="{00000000-0005-0000-0000-000052000000}"/>
    <cellStyle name="Comma 2 8" xfId="61" xr:uid="{00000000-0005-0000-0000-000053000000}"/>
    <cellStyle name="Comma 2 8 2" xfId="62" xr:uid="{00000000-0005-0000-0000-000054000000}"/>
    <cellStyle name="Comma 2 9" xfId="63" xr:uid="{00000000-0005-0000-0000-000055000000}"/>
    <cellStyle name="Comma 2 9 2" xfId="64" xr:uid="{00000000-0005-0000-0000-000056000000}"/>
    <cellStyle name="Comma 20" xfId="65" xr:uid="{00000000-0005-0000-0000-000057000000}"/>
    <cellStyle name="Comma 21" xfId="66" xr:uid="{00000000-0005-0000-0000-000058000000}"/>
    <cellStyle name="Comma 22" xfId="67" xr:uid="{00000000-0005-0000-0000-000059000000}"/>
    <cellStyle name="Comma 23" xfId="68" xr:uid="{00000000-0005-0000-0000-00005A000000}"/>
    <cellStyle name="Comma 24" xfId="69" xr:uid="{00000000-0005-0000-0000-00005B000000}"/>
    <cellStyle name="Comma 25" xfId="70" xr:uid="{00000000-0005-0000-0000-00005C000000}"/>
    <cellStyle name="Comma 26" xfId="71" xr:uid="{00000000-0005-0000-0000-00005D000000}"/>
    <cellStyle name="Comma 27" xfId="72" xr:uid="{00000000-0005-0000-0000-00005E000000}"/>
    <cellStyle name="Comma 27 2 2 2" xfId="475" xr:uid="{00000000-0005-0000-0000-00005F000000}"/>
    <cellStyle name="Comma 27 2 2 2 3" xfId="478" xr:uid="{00000000-0005-0000-0000-000060000000}"/>
    <cellStyle name="Comma 27 2 2 2 3 2" xfId="480" xr:uid="{00000000-0005-0000-0000-000061000000}"/>
    <cellStyle name="Comma 27 2 2 2 3 2 2" xfId="482" xr:uid="{00000000-0005-0000-0000-000062000000}"/>
    <cellStyle name="Comma 28" xfId="73" xr:uid="{00000000-0005-0000-0000-000063000000}"/>
    <cellStyle name="Comma 29" xfId="74" xr:uid="{00000000-0005-0000-0000-000064000000}"/>
    <cellStyle name="Comma 3" xfId="75" xr:uid="{00000000-0005-0000-0000-000065000000}"/>
    <cellStyle name="Comma 3 2" xfId="76" xr:uid="{00000000-0005-0000-0000-000066000000}"/>
    <cellStyle name="Comma 3 2 2" xfId="77" xr:uid="{00000000-0005-0000-0000-000067000000}"/>
    <cellStyle name="Comma 3 3" xfId="78" xr:uid="{00000000-0005-0000-0000-000068000000}"/>
    <cellStyle name="Comma 3 4" xfId="79" xr:uid="{00000000-0005-0000-0000-000069000000}"/>
    <cellStyle name="Comma 30" xfId="80" xr:uid="{00000000-0005-0000-0000-00006A000000}"/>
    <cellStyle name="Comma 31" xfId="81" xr:uid="{00000000-0005-0000-0000-00006B000000}"/>
    <cellStyle name="Comma 32" xfId="82" xr:uid="{00000000-0005-0000-0000-00006C000000}"/>
    <cellStyle name="Comma 33" xfId="83" xr:uid="{00000000-0005-0000-0000-00006D000000}"/>
    <cellStyle name="Comma 34" xfId="84" xr:uid="{00000000-0005-0000-0000-00006E000000}"/>
    <cellStyle name="Comma 35" xfId="85" xr:uid="{00000000-0005-0000-0000-00006F000000}"/>
    <cellStyle name="Comma 36" xfId="86" xr:uid="{00000000-0005-0000-0000-000070000000}"/>
    <cellStyle name="Comma 36 3 2" xfId="485" xr:uid="{00000000-0005-0000-0000-000071000000}"/>
    <cellStyle name="Comma 36 3 3" xfId="487" xr:uid="{00000000-0005-0000-0000-000072000000}"/>
    <cellStyle name="Comma 36 3 3 2" xfId="489" xr:uid="{00000000-0005-0000-0000-000073000000}"/>
    <cellStyle name="Comma 36 3 3 3" xfId="492" xr:uid="{00000000-0005-0000-0000-000074000000}"/>
    <cellStyle name="Comma 36 3 3 3 2" xfId="494" xr:uid="{00000000-0005-0000-0000-000075000000}"/>
    <cellStyle name="Comma 37" xfId="87" xr:uid="{00000000-0005-0000-0000-000076000000}"/>
    <cellStyle name="Comma 37 2" xfId="481" xr:uid="{00000000-0005-0000-0000-000077000000}"/>
    <cellStyle name="Comma 38" xfId="88" xr:uid="{00000000-0005-0000-0000-000078000000}"/>
    <cellStyle name="Comma 39" xfId="89" xr:uid="{00000000-0005-0000-0000-000079000000}"/>
    <cellStyle name="Comma 4" xfId="90" xr:uid="{00000000-0005-0000-0000-00007A000000}"/>
    <cellStyle name="Comma 4 2" xfId="91" xr:uid="{00000000-0005-0000-0000-00007B000000}"/>
    <cellStyle name="Comma 4 3" xfId="92" xr:uid="{00000000-0005-0000-0000-00007C000000}"/>
    <cellStyle name="Comma 4 4" xfId="93" xr:uid="{00000000-0005-0000-0000-00007D000000}"/>
    <cellStyle name="Comma 40" xfId="94" xr:uid="{00000000-0005-0000-0000-00007E000000}"/>
    <cellStyle name="Comma 41" xfId="95" xr:uid="{00000000-0005-0000-0000-00007F000000}"/>
    <cellStyle name="Comma 42" xfId="96" xr:uid="{00000000-0005-0000-0000-000080000000}"/>
    <cellStyle name="Comma 43" xfId="97" xr:uid="{00000000-0005-0000-0000-000081000000}"/>
    <cellStyle name="Comma 44" xfId="98" xr:uid="{00000000-0005-0000-0000-000082000000}"/>
    <cellStyle name="Comma 45" xfId="99" xr:uid="{00000000-0005-0000-0000-000083000000}"/>
    <cellStyle name="Comma 46" xfId="100" xr:uid="{00000000-0005-0000-0000-000084000000}"/>
    <cellStyle name="Comma 47" xfId="101" xr:uid="{00000000-0005-0000-0000-000085000000}"/>
    <cellStyle name="Comma 48" xfId="102" xr:uid="{00000000-0005-0000-0000-000086000000}"/>
    <cellStyle name="Comma 49" xfId="103" xr:uid="{00000000-0005-0000-0000-000087000000}"/>
    <cellStyle name="Comma 5" xfId="104" xr:uid="{00000000-0005-0000-0000-000088000000}"/>
    <cellStyle name="Comma 5 2" xfId="105" xr:uid="{00000000-0005-0000-0000-000089000000}"/>
    <cellStyle name="Comma 5 3" xfId="106" xr:uid="{00000000-0005-0000-0000-00008A000000}"/>
    <cellStyle name="Comma 5 3 2" xfId="107" xr:uid="{00000000-0005-0000-0000-00008B000000}"/>
    <cellStyle name="Comma 5 4" xfId="108" xr:uid="{00000000-0005-0000-0000-00008C000000}"/>
    <cellStyle name="Comma 5 5" xfId="470" xr:uid="{00000000-0005-0000-0000-00008D000000}"/>
    <cellStyle name="Comma 50" xfId="109" xr:uid="{00000000-0005-0000-0000-00008E000000}"/>
    <cellStyle name="Comma 51" xfId="110" xr:uid="{00000000-0005-0000-0000-00008F000000}"/>
    <cellStyle name="Comma 52" xfId="111" xr:uid="{00000000-0005-0000-0000-000090000000}"/>
    <cellStyle name="Comma 53" xfId="112" xr:uid="{00000000-0005-0000-0000-000091000000}"/>
    <cellStyle name="Comma 54" xfId="113" xr:uid="{00000000-0005-0000-0000-000092000000}"/>
    <cellStyle name="Comma 55" xfId="114" xr:uid="{00000000-0005-0000-0000-000093000000}"/>
    <cellStyle name="Comma 56" xfId="115" xr:uid="{00000000-0005-0000-0000-000094000000}"/>
    <cellStyle name="Comma 57" xfId="116" xr:uid="{00000000-0005-0000-0000-000095000000}"/>
    <cellStyle name="Comma 58" xfId="117" xr:uid="{00000000-0005-0000-0000-000096000000}"/>
    <cellStyle name="Comma 59" xfId="118" xr:uid="{00000000-0005-0000-0000-000097000000}"/>
    <cellStyle name="Comma 6" xfId="119" xr:uid="{00000000-0005-0000-0000-000098000000}"/>
    <cellStyle name="Comma 6 2" xfId="120" xr:uid="{00000000-0005-0000-0000-000099000000}"/>
    <cellStyle name="Comma 6 3" xfId="410" xr:uid="{00000000-0005-0000-0000-00009A000000}"/>
    <cellStyle name="Comma 60" xfId="121" xr:uid="{00000000-0005-0000-0000-00009B000000}"/>
    <cellStyle name="Comma 61" xfId="122" xr:uid="{00000000-0005-0000-0000-00009C000000}"/>
    <cellStyle name="Comma 62" xfId="123" xr:uid="{00000000-0005-0000-0000-00009D000000}"/>
    <cellStyle name="Comma 63" xfId="124" xr:uid="{00000000-0005-0000-0000-00009E000000}"/>
    <cellStyle name="Comma 64" xfId="125" xr:uid="{00000000-0005-0000-0000-00009F000000}"/>
    <cellStyle name="Comma 65" xfId="126" xr:uid="{00000000-0005-0000-0000-0000A0000000}"/>
    <cellStyle name="Comma 66" xfId="127" xr:uid="{00000000-0005-0000-0000-0000A1000000}"/>
    <cellStyle name="Comma 67" xfId="128" xr:uid="{00000000-0005-0000-0000-0000A2000000}"/>
    <cellStyle name="Comma 68" xfId="129" xr:uid="{00000000-0005-0000-0000-0000A3000000}"/>
    <cellStyle name="Comma 69" xfId="130" xr:uid="{00000000-0005-0000-0000-0000A4000000}"/>
    <cellStyle name="Comma 7" xfId="131" xr:uid="{00000000-0005-0000-0000-0000A5000000}"/>
    <cellStyle name="Comma 7 2" xfId="132" xr:uid="{00000000-0005-0000-0000-0000A6000000}"/>
    <cellStyle name="Comma 7 3" xfId="411" xr:uid="{00000000-0005-0000-0000-0000A7000000}"/>
    <cellStyle name="Comma 70" xfId="133" xr:uid="{00000000-0005-0000-0000-0000A8000000}"/>
    <cellStyle name="Comma 71" xfId="134" xr:uid="{00000000-0005-0000-0000-0000A9000000}"/>
    <cellStyle name="Comma 72" xfId="135" xr:uid="{00000000-0005-0000-0000-0000AA000000}"/>
    <cellStyle name="Comma 73" xfId="136" xr:uid="{00000000-0005-0000-0000-0000AB000000}"/>
    <cellStyle name="Comma 74" xfId="137" xr:uid="{00000000-0005-0000-0000-0000AC000000}"/>
    <cellStyle name="Comma 75" xfId="138" xr:uid="{00000000-0005-0000-0000-0000AD000000}"/>
    <cellStyle name="Comma 76" xfId="139" xr:uid="{00000000-0005-0000-0000-0000AE000000}"/>
    <cellStyle name="Comma 77" xfId="140" xr:uid="{00000000-0005-0000-0000-0000AF000000}"/>
    <cellStyle name="Comma 78" xfId="141" xr:uid="{00000000-0005-0000-0000-0000B0000000}"/>
    <cellStyle name="Comma 79" xfId="142" xr:uid="{00000000-0005-0000-0000-0000B1000000}"/>
    <cellStyle name="Comma 8" xfId="143" xr:uid="{00000000-0005-0000-0000-0000B2000000}"/>
    <cellStyle name="Comma 8 2" xfId="144" xr:uid="{00000000-0005-0000-0000-0000B3000000}"/>
    <cellStyle name="Comma 80" xfId="145" xr:uid="{00000000-0005-0000-0000-0000B4000000}"/>
    <cellStyle name="Comma 81" xfId="146" xr:uid="{00000000-0005-0000-0000-0000B5000000}"/>
    <cellStyle name="Comma 82" xfId="147" xr:uid="{00000000-0005-0000-0000-0000B6000000}"/>
    <cellStyle name="Comma 83" xfId="148" xr:uid="{00000000-0005-0000-0000-0000B7000000}"/>
    <cellStyle name="Comma 84" xfId="149" xr:uid="{00000000-0005-0000-0000-0000B8000000}"/>
    <cellStyle name="Comma 85" xfId="150" xr:uid="{00000000-0005-0000-0000-0000B9000000}"/>
    <cellStyle name="Comma 86" xfId="151" xr:uid="{00000000-0005-0000-0000-0000BA000000}"/>
    <cellStyle name="Comma 87" xfId="152" xr:uid="{00000000-0005-0000-0000-0000BB000000}"/>
    <cellStyle name="Comma 88" xfId="153" xr:uid="{00000000-0005-0000-0000-0000BC000000}"/>
    <cellStyle name="Comma 89" xfId="154" xr:uid="{00000000-0005-0000-0000-0000BD000000}"/>
    <cellStyle name="Comma 9" xfId="412" xr:uid="{00000000-0005-0000-0000-0000BE000000}"/>
    <cellStyle name="Comma 9 2" xfId="155" xr:uid="{00000000-0005-0000-0000-0000BF000000}"/>
    <cellStyle name="Comma 90" xfId="156" xr:uid="{00000000-0005-0000-0000-0000C0000000}"/>
    <cellStyle name="Comma 91" xfId="157" xr:uid="{00000000-0005-0000-0000-0000C1000000}"/>
    <cellStyle name="Comma 92" xfId="158" xr:uid="{00000000-0005-0000-0000-0000C2000000}"/>
    <cellStyle name="Comma 93" xfId="159" xr:uid="{00000000-0005-0000-0000-0000C3000000}"/>
    <cellStyle name="Comma 94" xfId="160" xr:uid="{00000000-0005-0000-0000-0000C4000000}"/>
    <cellStyle name="Comma 95" xfId="161" xr:uid="{00000000-0005-0000-0000-0000C5000000}"/>
    <cellStyle name="Comma 96" xfId="162" xr:uid="{00000000-0005-0000-0000-0000C6000000}"/>
    <cellStyle name="Comma 97" xfId="163" xr:uid="{00000000-0005-0000-0000-0000C7000000}"/>
    <cellStyle name="Comma 98" xfId="401" xr:uid="{00000000-0005-0000-0000-0000C8000000}"/>
    <cellStyle name="Comma 99" xfId="407" xr:uid="{00000000-0005-0000-0000-0000C9000000}"/>
    <cellStyle name="Currency 2" xfId="413" xr:uid="{00000000-0005-0000-0000-0000CA000000}"/>
    <cellStyle name="Currency 76" xfId="164" xr:uid="{00000000-0005-0000-0000-0000CB000000}"/>
    <cellStyle name="Good 2" xfId="165" xr:uid="{00000000-0005-0000-0000-0000CC000000}"/>
    <cellStyle name="Hyperlink 2" xfId="166" xr:uid="{00000000-0005-0000-0000-0000CD000000}"/>
    <cellStyle name="Hyperlink 3" xfId="167" xr:uid="{00000000-0005-0000-0000-0000CE000000}"/>
    <cellStyle name="Hyperlink 4" xfId="168" xr:uid="{00000000-0005-0000-0000-0000CF000000}"/>
    <cellStyle name="Normal" xfId="0" builtinId="0"/>
    <cellStyle name="Normal 10" xfId="169" xr:uid="{00000000-0005-0000-0000-0000D1000000}"/>
    <cellStyle name="Normal 10 2" xfId="170" xr:uid="{00000000-0005-0000-0000-0000D2000000}"/>
    <cellStyle name="Normal 10 2 2" xfId="171" xr:uid="{00000000-0005-0000-0000-0000D3000000}"/>
    <cellStyle name="Normal 10 3" xfId="172" xr:uid="{00000000-0005-0000-0000-0000D4000000}"/>
    <cellStyle name="Normal 10 4" xfId="173" xr:uid="{00000000-0005-0000-0000-0000D5000000}"/>
    <cellStyle name="Normal 10 5" xfId="490" xr:uid="{00000000-0005-0000-0000-0000D6000000}"/>
    <cellStyle name="Normal 11" xfId="174" xr:uid="{00000000-0005-0000-0000-0000D7000000}"/>
    <cellStyle name="Normal 11 2" xfId="175" xr:uid="{00000000-0005-0000-0000-0000D8000000}"/>
    <cellStyle name="Normal 12 2" xfId="176" xr:uid="{00000000-0005-0000-0000-0000D9000000}"/>
    <cellStyle name="Normal 12 3" xfId="177" xr:uid="{00000000-0005-0000-0000-0000DA000000}"/>
    <cellStyle name="Normal 13 2" xfId="178" xr:uid="{00000000-0005-0000-0000-0000DB000000}"/>
    <cellStyle name="Normal 14 2" xfId="179" xr:uid="{00000000-0005-0000-0000-0000DC000000}"/>
    <cellStyle name="Normal 15 2" xfId="180" xr:uid="{00000000-0005-0000-0000-0000DD000000}"/>
    <cellStyle name="Normal 2" xfId="181" xr:uid="{00000000-0005-0000-0000-0000DE000000}"/>
    <cellStyle name="Normal 2 10" xfId="182" xr:uid="{00000000-0005-0000-0000-0000DF000000}"/>
    <cellStyle name="Normal 2 11" xfId="183" xr:uid="{00000000-0005-0000-0000-0000E0000000}"/>
    <cellStyle name="Normal 2 12" xfId="184" xr:uid="{00000000-0005-0000-0000-0000E1000000}"/>
    <cellStyle name="Normal 2 13" xfId="185" xr:uid="{00000000-0005-0000-0000-0000E2000000}"/>
    <cellStyle name="Normal 2 14" xfId="186" xr:uid="{00000000-0005-0000-0000-0000E3000000}"/>
    <cellStyle name="Normal 2 15" xfId="187" xr:uid="{00000000-0005-0000-0000-0000E4000000}"/>
    <cellStyle name="Normal 2 16" xfId="188" xr:uid="{00000000-0005-0000-0000-0000E5000000}"/>
    <cellStyle name="Normal 2 17" xfId="189" xr:uid="{00000000-0005-0000-0000-0000E6000000}"/>
    <cellStyle name="Normal 2 18" xfId="190" xr:uid="{00000000-0005-0000-0000-0000E7000000}"/>
    <cellStyle name="Normal 2 19" xfId="191" xr:uid="{00000000-0005-0000-0000-0000E8000000}"/>
    <cellStyle name="Normal 2 2" xfId="192" xr:uid="{00000000-0005-0000-0000-0000E9000000}"/>
    <cellStyle name="Normal 2 2 2" xfId="193" xr:uid="{00000000-0005-0000-0000-0000EA000000}"/>
    <cellStyle name="Normal 2 2 2 2" xfId="473" xr:uid="{00000000-0005-0000-0000-0000EB000000}"/>
    <cellStyle name="Normal 2 2 3" xfId="194" xr:uid="{00000000-0005-0000-0000-0000EC000000}"/>
    <cellStyle name="Normal 2 2 4" xfId="195" xr:uid="{00000000-0005-0000-0000-0000ED000000}"/>
    <cellStyle name="Normal 2 2 5" xfId="196" xr:uid="{00000000-0005-0000-0000-0000EE000000}"/>
    <cellStyle name="Normal 2 2 6" xfId="197" xr:uid="{00000000-0005-0000-0000-0000EF000000}"/>
    <cellStyle name="Normal 2 2 7" xfId="198" xr:uid="{00000000-0005-0000-0000-0000F0000000}"/>
    <cellStyle name="Normal 2 2 8" xfId="199" xr:uid="{00000000-0005-0000-0000-0000F1000000}"/>
    <cellStyle name="Normal 2 2 9" xfId="200" xr:uid="{00000000-0005-0000-0000-0000F2000000}"/>
    <cellStyle name="Normal 2 20" xfId="201" xr:uid="{00000000-0005-0000-0000-0000F3000000}"/>
    <cellStyle name="Normal 2 21" xfId="202" xr:uid="{00000000-0005-0000-0000-0000F4000000}"/>
    <cellStyle name="Normal 2 22" xfId="203" xr:uid="{00000000-0005-0000-0000-0000F5000000}"/>
    <cellStyle name="Normal 2 23" xfId="204" xr:uid="{00000000-0005-0000-0000-0000F6000000}"/>
    <cellStyle name="Normal 2 24" xfId="465" xr:uid="{00000000-0005-0000-0000-0000F7000000}"/>
    <cellStyle name="Normal 2 3" xfId="205" xr:uid="{00000000-0005-0000-0000-0000F8000000}"/>
    <cellStyle name="Normal 2 3 2" xfId="206" xr:uid="{00000000-0005-0000-0000-0000F9000000}"/>
    <cellStyle name="Normal 2 3 3" xfId="207" xr:uid="{00000000-0005-0000-0000-0000FA000000}"/>
    <cellStyle name="Normal 2 4" xfId="208" xr:uid="{00000000-0005-0000-0000-0000FB000000}"/>
    <cellStyle name="Normal 2 4 2" xfId="414" xr:uid="{00000000-0005-0000-0000-0000FC000000}"/>
    <cellStyle name="Normal 2 5" xfId="209" xr:uid="{00000000-0005-0000-0000-0000FD000000}"/>
    <cellStyle name="Normal 2 5 2" xfId="210" xr:uid="{00000000-0005-0000-0000-0000FE000000}"/>
    <cellStyle name="Normal 2 6" xfId="211" xr:uid="{00000000-0005-0000-0000-0000FF000000}"/>
    <cellStyle name="Normal 2 7" xfId="212" xr:uid="{00000000-0005-0000-0000-000000010000}"/>
    <cellStyle name="Normal 2 8" xfId="213" xr:uid="{00000000-0005-0000-0000-000001010000}"/>
    <cellStyle name="Normal 2 9" xfId="214" xr:uid="{00000000-0005-0000-0000-000002010000}"/>
    <cellStyle name="Normal 21" xfId="215" xr:uid="{00000000-0005-0000-0000-000003010000}"/>
    <cellStyle name="Normal 22" xfId="216" xr:uid="{00000000-0005-0000-0000-000004010000}"/>
    <cellStyle name="Normal 23" xfId="217" xr:uid="{00000000-0005-0000-0000-000005010000}"/>
    <cellStyle name="Normal 24" xfId="218" xr:uid="{00000000-0005-0000-0000-000006010000}"/>
    <cellStyle name="Normal 26" xfId="219" xr:uid="{00000000-0005-0000-0000-000007010000}"/>
    <cellStyle name="Normal 27" xfId="220" xr:uid="{00000000-0005-0000-0000-000008010000}"/>
    <cellStyle name="Normal 3" xfId="221" xr:uid="{00000000-0005-0000-0000-000009010000}"/>
    <cellStyle name="Normal 3 2" xfId="222" xr:uid="{00000000-0005-0000-0000-00000A010000}"/>
    <cellStyle name="Normal 3 2 2" xfId="223" xr:uid="{00000000-0005-0000-0000-00000B010000}"/>
    <cellStyle name="Normal 3 2 2 2" xfId="224" xr:uid="{00000000-0005-0000-0000-00000C010000}"/>
    <cellStyle name="Normal 3 2 3" xfId="471" xr:uid="{00000000-0005-0000-0000-00000D010000}"/>
    <cellStyle name="Normal 3 3" xfId="464" xr:uid="{00000000-0005-0000-0000-00000E010000}"/>
    <cellStyle name="Normal 30" xfId="225" xr:uid="{00000000-0005-0000-0000-00000F010000}"/>
    <cellStyle name="Normal 4" xfId="226" xr:uid="{00000000-0005-0000-0000-000010010000}"/>
    <cellStyle name="Normal 4 2" xfId="469" xr:uid="{00000000-0005-0000-0000-000011010000}"/>
    <cellStyle name="Normal 5" xfId="227" xr:uid="{00000000-0005-0000-0000-000012010000}"/>
    <cellStyle name="Normal 5 2" xfId="467" xr:uid="{00000000-0005-0000-0000-000013010000}"/>
    <cellStyle name="Normal 6" xfId="228" xr:uid="{00000000-0005-0000-0000-000014010000}"/>
    <cellStyle name="Normal 6 2" xfId="229" xr:uid="{00000000-0005-0000-0000-000015010000}"/>
    <cellStyle name="Normal 7" xfId="230" xr:uid="{00000000-0005-0000-0000-000016010000}"/>
    <cellStyle name="Normal 7 2" xfId="231" xr:uid="{00000000-0005-0000-0000-000017010000}"/>
    <cellStyle name="Normal 7 2 2 2" xfId="472" xr:uid="{00000000-0005-0000-0000-000018010000}"/>
    <cellStyle name="Normal 7 2 2 2 3" xfId="477" xr:uid="{00000000-0005-0000-0000-000019010000}"/>
    <cellStyle name="Normal 7 2 2 2 3 2" xfId="479" xr:uid="{00000000-0005-0000-0000-00001A010000}"/>
    <cellStyle name="Normal 7 2 2 2 3 2 2" xfId="483" xr:uid="{00000000-0005-0000-0000-00001B010000}"/>
    <cellStyle name="Normal 7 2 2 2 3 2 2 2" xfId="484" xr:uid="{00000000-0005-0000-0000-00001C010000}"/>
    <cellStyle name="Normal 7 2 2 2 3 2 2 3" xfId="486" xr:uid="{00000000-0005-0000-0000-00001D010000}"/>
    <cellStyle name="Normal 7 2 2 2 3 2 2 3 2" xfId="488" xr:uid="{00000000-0005-0000-0000-00001E010000}"/>
    <cellStyle name="Normal 7 2 2 2 3 2 2 3 3" xfId="491" xr:uid="{00000000-0005-0000-0000-00001F010000}"/>
    <cellStyle name="Normal 7 2 2 2 3 2 2 3 3 2" xfId="493" xr:uid="{00000000-0005-0000-0000-000020010000}"/>
    <cellStyle name="Normal 8" xfId="232" xr:uid="{00000000-0005-0000-0000-000021010000}"/>
    <cellStyle name="Normal 9" xfId="233" xr:uid="{00000000-0005-0000-0000-000022010000}"/>
    <cellStyle name="Normal 9 2" xfId="234" xr:uid="{00000000-0005-0000-0000-000023010000}"/>
    <cellStyle name="Normal 9 2 2" xfId="235" xr:uid="{00000000-0005-0000-0000-000024010000}"/>
    <cellStyle name="Normal 9 2 3" xfId="236" xr:uid="{00000000-0005-0000-0000-000025010000}"/>
    <cellStyle name="Normal 9 2 4" xfId="237" xr:uid="{00000000-0005-0000-0000-000026010000}"/>
    <cellStyle name="Normal 9 3" xfId="238" xr:uid="{00000000-0005-0000-0000-000027010000}"/>
    <cellStyle name="Note 2" xfId="239" xr:uid="{00000000-0005-0000-0000-000028010000}"/>
    <cellStyle name="Note 2 2" xfId="240" xr:uid="{00000000-0005-0000-0000-000029010000}"/>
    <cellStyle name="Note 3" xfId="241" xr:uid="{00000000-0005-0000-0000-00002A010000}"/>
    <cellStyle name="Note 3 2" xfId="242" xr:uid="{00000000-0005-0000-0000-00002B010000}"/>
    <cellStyle name="Per cent" xfId="391" builtinId="5"/>
    <cellStyle name="Percent 2" xfId="243" xr:uid="{00000000-0005-0000-0000-00002D010000}"/>
    <cellStyle name="Percent 2 2" xfId="244" xr:uid="{00000000-0005-0000-0000-00002E010000}"/>
    <cellStyle name="Percent 2 2 2" xfId="415" xr:uid="{00000000-0005-0000-0000-00002F010000}"/>
    <cellStyle name="Percent 2 3" xfId="245" xr:uid="{00000000-0005-0000-0000-000030010000}"/>
    <cellStyle name="Percent 2 4" xfId="468" xr:uid="{00000000-0005-0000-0000-000031010000}"/>
    <cellStyle name="Percent 3" xfId="246" xr:uid="{00000000-0005-0000-0000-000032010000}"/>
    <cellStyle name="Percent 3 2" xfId="247" xr:uid="{00000000-0005-0000-0000-000033010000}"/>
    <cellStyle name="Percent 4" xfId="248" xr:uid="{00000000-0005-0000-0000-000034010000}"/>
    <cellStyle name="Percent 4 2" xfId="249" xr:uid="{00000000-0005-0000-0000-000035010000}"/>
    <cellStyle name="Percent 5" xfId="250" xr:uid="{00000000-0005-0000-0000-000036010000}"/>
    <cellStyle name="Percent 6" xfId="251" xr:uid="{00000000-0005-0000-0000-000037010000}"/>
    <cellStyle name="Percent 6 2" xfId="417" xr:uid="{00000000-0005-0000-0000-000038010000}"/>
    <cellStyle name="Percent 6 3" xfId="416" xr:uid="{00000000-0005-0000-0000-000039010000}"/>
    <cellStyle name="Percent 7" xfId="252" xr:uid="{00000000-0005-0000-0000-00003A010000}"/>
    <cellStyle name="SAPBEXaggData" xfId="253" xr:uid="{00000000-0005-0000-0000-00003B010000}"/>
    <cellStyle name="SAPBEXaggData 10" xfId="254" xr:uid="{00000000-0005-0000-0000-00003C010000}"/>
    <cellStyle name="SAPBEXaggData 11" xfId="255" xr:uid="{00000000-0005-0000-0000-00003D010000}"/>
    <cellStyle name="SAPBEXaggData 12" xfId="256" xr:uid="{00000000-0005-0000-0000-00003E010000}"/>
    <cellStyle name="SAPBEXaggData 13" xfId="257" xr:uid="{00000000-0005-0000-0000-00003F010000}"/>
    <cellStyle name="SAPBEXaggData 14" xfId="258" xr:uid="{00000000-0005-0000-0000-000040010000}"/>
    <cellStyle name="SAPBEXaggData 15" xfId="259" xr:uid="{00000000-0005-0000-0000-000041010000}"/>
    <cellStyle name="SAPBEXaggData 16" xfId="260" xr:uid="{00000000-0005-0000-0000-000042010000}"/>
    <cellStyle name="SAPBEXaggData 17" xfId="261" xr:uid="{00000000-0005-0000-0000-000043010000}"/>
    <cellStyle name="SAPBEXaggData 18" xfId="262" xr:uid="{00000000-0005-0000-0000-000044010000}"/>
    <cellStyle name="SAPBEXaggData 19" xfId="263" xr:uid="{00000000-0005-0000-0000-000045010000}"/>
    <cellStyle name="SAPBEXaggData 2" xfId="264" xr:uid="{00000000-0005-0000-0000-000046010000}"/>
    <cellStyle name="SAPBEXaggData 2 10" xfId="265" xr:uid="{00000000-0005-0000-0000-000047010000}"/>
    <cellStyle name="SAPBEXaggData 2 11" xfId="266" xr:uid="{00000000-0005-0000-0000-000048010000}"/>
    <cellStyle name="SAPBEXaggData 2 12" xfId="267" xr:uid="{00000000-0005-0000-0000-000049010000}"/>
    <cellStyle name="SAPBEXaggData 2 13" xfId="268" xr:uid="{00000000-0005-0000-0000-00004A010000}"/>
    <cellStyle name="SAPBEXaggData 2 14" xfId="269" xr:uid="{00000000-0005-0000-0000-00004B010000}"/>
    <cellStyle name="SAPBEXaggData 2 2" xfId="270" xr:uid="{00000000-0005-0000-0000-00004C010000}"/>
    <cellStyle name="SAPBEXaggData 2 2 2" xfId="393" xr:uid="{00000000-0005-0000-0000-00004D010000}"/>
    <cellStyle name="SAPBEXaggData 2 2 2 2" xfId="497" xr:uid="{00000000-0005-0000-0000-00004E010000}"/>
    <cellStyle name="SAPBEXaggData 2 2 3" xfId="426" xr:uid="{00000000-0005-0000-0000-00004F010000}"/>
    <cellStyle name="SAPBEXaggData 2 2 3 2" xfId="498" xr:uid="{00000000-0005-0000-0000-000050010000}"/>
    <cellStyle name="SAPBEXaggData 2 2 4" xfId="454" xr:uid="{00000000-0005-0000-0000-000051010000}"/>
    <cellStyle name="SAPBEXaggData 2 2 4 2" xfId="499" xr:uid="{00000000-0005-0000-0000-000052010000}"/>
    <cellStyle name="SAPBEXaggData 2 2 5" xfId="500" xr:uid="{00000000-0005-0000-0000-000053010000}"/>
    <cellStyle name="SAPBEXaggData 2 3" xfId="271" xr:uid="{00000000-0005-0000-0000-000054010000}"/>
    <cellStyle name="SAPBEXaggData 2 3 2" xfId="501" xr:uid="{00000000-0005-0000-0000-000055010000}"/>
    <cellStyle name="SAPBEXaggData 2 4" xfId="272" xr:uid="{00000000-0005-0000-0000-000056010000}"/>
    <cellStyle name="SAPBEXaggData 2 4 2" xfId="502" xr:uid="{00000000-0005-0000-0000-000057010000}"/>
    <cellStyle name="SAPBEXaggData 2 5" xfId="273" xr:uid="{00000000-0005-0000-0000-000058010000}"/>
    <cellStyle name="SAPBEXaggData 2 5 2" xfId="503" xr:uid="{00000000-0005-0000-0000-000059010000}"/>
    <cellStyle name="SAPBEXaggData 2 6" xfId="274" xr:uid="{00000000-0005-0000-0000-00005A010000}"/>
    <cellStyle name="SAPBEXaggData 2 6 2" xfId="504" xr:uid="{00000000-0005-0000-0000-00005B010000}"/>
    <cellStyle name="SAPBEXaggData 2 7" xfId="275" xr:uid="{00000000-0005-0000-0000-00005C010000}"/>
    <cellStyle name="SAPBEXaggData 2 8" xfId="276" xr:uid="{00000000-0005-0000-0000-00005D010000}"/>
    <cellStyle name="SAPBEXaggData 2 9" xfId="277" xr:uid="{00000000-0005-0000-0000-00005E010000}"/>
    <cellStyle name="SAPBEXaggData 3" xfId="278" xr:uid="{00000000-0005-0000-0000-00005F010000}"/>
    <cellStyle name="SAPBEXaggData 3 2" xfId="394" xr:uid="{00000000-0005-0000-0000-000060010000}"/>
    <cellStyle name="SAPBEXaggData 3 2 2" xfId="505" xr:uid="{00000000-0005-0000-0000-000061010000}"/>
    <cellStyle name="SAPBEXaggData 3 3" xfId="427" xr:uid="{00000000-0005-0000-0000-000062010000}"/>
    <cellStyle name="SAPBEXaggData 3 3 2" xfId="506" xr:uid="{00000000-0005-0000-0000-000063010000}"/>
    <cellStyle name="SAPBEXaggData 3 4" xfId="455" xr:uid="{00000000-0005-0000-0000-000064010000}"/>
    <cellStyle name="SAPBEXaggData 3 4 2" xfId="507" xr:uid="{00000000-0005-0000-0000-000065010000}"/>
    <cellStyle name="SAPBEXaggData 3 5" xfId="508" xr:uid="{00000000-0005-0000-0000-000066010000}"/>
    <cellStyle name="SAPBEXaggData 3 5 2" xfId="509" xr:uid="{00000000-0005-0000-0000-000067010000}"/>
    <cellStyle name="SAPBEXaggData 3 6" xfId="510" xr:uid="{00000000-0005-0000-0000-000068010000}"/>
    <cellStyle name="SAPBEXaggData 4" xfId="279" xr:uid="{00000000-0005-0000-0000-000069010000}"/>
    <cellStyle name="SAPBEXaggData 4 2" xfId="445" xr:uid="{00000000-0005-0000-0000-00006A010000}"/>
    <cellStyle name="SAPBEXaggData 4 2 2" xfId="511" xr:uid="{00000000-0005-0000-0000-00006B010000}"/>
    <cellStyle name="SAPBEXaggData 4 3" xfId="512" xr:uid="{00000000-0005-0000-0000-00006C010000}"/>
    <cellStyle name="SAPBEXaggData 4 3 2" xfId="513" xr:uid="{00000000-0005-0000-0000-00006D010000}"/>
    <cellStyle name="SAPBEXaggData 4 4" xfId="514" xr:uid="{00000000-0005-0000-0000-00006E010000}"/>
    <cellStyle name="SAPBEXaggData 5" xfId="280" xr:uid="{00000000-0005-0000-0000-00006F010000}"/>
    <cellStyle name="SAPBEXaggData 5 2" xfId="449" xr:uid="{00000000-0005-0000-0000-000070010000}"/>
    <cellStyle name="SAPBEXaggData 5 2 2" xfId="515" xr:uid="{00000000-0005-0000-0000-000071010000}"/>
    <cellStyle name="SAPBEXaggData 5 3" xfId="516" xr:uid="{00000000-0005-0000-0000-000072010000}"/>
    <cellStyle name="SAPBEXaggData 5 3 2" xfId="517" xr:uid="{00000000-0005-0000-0000-000073010000}"/>
    <cellStyle name="SAPBEXaggData 5 4" xfId="518" xr:uid="{00000000-0005-0000-0000-000074010000}"/>
    <cellStyle name="SAPBEXaggData 6" xfId="281" xr:uid="{00000000-0005-0000-0000-000075010000}"/>
    <cellStyle name="SAPBEXaggData 6 2" xfId="453" xr:uid="{00000000-0005-0000-0000-000076010000}"/>
    <cellStyle name="SAPBEXaggData 6 2 2" xfId="519" xr:uid="{00000000-0005-0000-0000-000077010000}"/>
    <cellStyle name="SAPBEXaggData 6 3" xfId="520" xr:uid="{00000000-0005-0000-0000-000078010000}"/>
    <cellStyle name="SAPBEXaggData 6 3 2" xfId="521" xr:uid="{00000000-0005-0000-0000-000079010000}"/>
    <cellStyle name="SAPBEXaggData 6 4" xfId="522" xr:uid="{00000000-0005-0000-0000-00007A010000}"/>
    <cellStyle name="SAPBEXaggData 7" xfId="282" xr:uid="{00000000-0005-0000-0000-00007B010000}"/>
    <cellStyle name="SAPBEXaggData 7 2" xfId="523" xr:uid="{00000000-0005-0000-0000-00007C010000}"/>
    <cellStyle name="SAPBEXaggData 8" xfId="283" xr:uid="{00000000-0005-0000-0000-00007D010000}"/>
    <cellStyle name="SAPBEXaggData 8 2" xfId="524" xr:uid="{00000000-0005-0000-0000-00007E010000}"/>
    <cellStyle name="SAPBEXaggData 9" xfId="284" xr:uid="{00000000-0005-0000-0000-00007F010000}"/>
    <cellStyle name="SAPBEXchaText" xfId="285" xr:uid="{00000000-0005-0000-0000-000080010000}"/>
    <cellStyle name="SAPBEXstdData" xfId="286" xr:uid="{00000000-0005-0000-0000-000081010000}"/>
    <cellStyle name="SAPBEXstdData 10" xfId="287" xr:uid="{00000000-0005-0000-0000-000082010000}"/>
    <cellStyle name="SAPBEXstdData 11" xfId="288" xr:uid="{00000000-0005-0000-0000-000083010000}"/>
    <cellStyle name="SAPBEXstdData 12" xfId="289" xr:uid="{00000000-0005-0000-0000-000084010000}"/>
    <cellStyle name="SAPBEXstdData 13" xfId="290" xr:uid="{00000000-0005-0000-0000-000085010000}"/>
    <cellStyle name="SAPBEXstdData 14" xfId="291" xr:uid="{00000000-0005-0000-0000-000086010000}"/>
    <cellStyle name="SAPBEXstdData 15" xfId="292" xr:uid="{00000000-0005-0000-0000-000087010000}"/>
    <cellStyle name="SAPBEXstdData 16" xfId="293" xr:uid="{00000000-0005-0000-0000-000088010000}"/>
    <cellStyle name="SAPBEXstdData 17" xfId="294" xr:uid="{00000000-0005-0000-0000-000089010000}"/>
    <cellStyle name="SAPBEXstdData 18" xfId="295" xr:uid="{00000000-0005-0000-0000-00008A010000}"/>
    <cellStyle name="SAPBEXstdData 19" xfId="296" xr:uid="{00000000-0005-0000-0000-00008B010000}"/>
    <cellStyle name="SAPBEXstdData 2" xfId="297" xr:uid="{00000000-0005-0000-0000-00008C010000}"/>
    <cellStyle name="SAPBEXstdData 2 10" xfId="298" xr:uid="{00000000-0005-0000-0000-00008D010000}"/>
    <cellStyle name="SAPBEXstdData 2 11" xfId="299" xr:uid="{00000000-0005-0000-0000-00008E010000}"/>
    <cellStyle name="SAPBEXstdData 2 12" xfId="300" xr:uid="{00000000-0005-0000-0000-00008F010000}"/>
    <cellStyle name="SAPBEXstdData 2 13" xfId="301" xr:uid="{00000000-0005-0000-0000-000090010000}"/>
    <cellStyle name="SAPBEXstdData 2 14" xfId="302" xr:uid="{00000000-0005-0000-0000-000091010000}"/>
    <cellStyle name="SAPBEXstdData 2 2" xfId="303" xr:uid="{00000000-0005-0000-0000-000092010000}"/>
    <cellStyle name="SAPBEXstdData 2 2 2" xfId="395" xr:uid="{00000000-0005-0000-0000-000093010000}"/>
    <cellStyle name="SAPBEXstdData 2 2 2 2" xfId="525" xr:uid="{00000000-0005-0000-0000-000094010000}"/>
    <cellStyle name="SAPBEXstdData 2 2 3" xfId="428" xr:uid="{00000000-0005-0000-0000-000095010000}"/>
    <cellStyle name="SAPBEXstdData 2 2 3 2" xfId="526" xr:uid="{00000000-0005-0000-0000-000096010000}"/>
    <cellStyle name="SAPBEXstdData 2 2 4" xfId="456" xr:uid="{00000000-0005-0000-0000-000097010000}"/>
    <cellStyle name="SAPBEXstdData 2 2 4 2" xfId="527" xr:uid="{00000000-0005-0000-0000-000098010000}"/>
    <cellStyle name="SAPBEXstdData 2 2 5" xfId="528" xr:uid="{00000000-0005-0000-0000-000099010000}"/>
    <cellStyle name="SAPBEXstdData 2 3" xfId="304" xr:uid="{00000000-0005-0000-0000-00009A010000}"/>
    <cellStyle name="SAPBEXstdData 2 3 2" xfId="529" xr:uid="{00000000-0005-0000-0000-00009B010000}"/>
    <cellStyle name="SAPBEXstdData 2 4" xfId="305" xr:uid="{00000000-0005-0000-0000-00009C010000}"/>
    <cellStyle name="SAPBEXstdData 2 4 2" xfId="530" xr:uid="{00000000-0005-0000-0000-00009D010000}"/>
    <cellStyle name="SAPBEXstdData 2 5" xfId="306" xr:uid="{00000000-0005-0000-0000-00009E010000}"/>
    <cellStyle name="SAPBEXstdData 2 5 2" xfId="531" xr:uid="{00000000-0005-0000-0000-00009F010000}"/>
    <cellStyle name="SAPBEXstdData 2 6" xfId="307" xr:uid="{00000000-0005-0000-0000-0000A0010000}"/>
    <cellStyle name="SAPBEXstdData 2 6 2" xfId="532" xr:uid="{00000000-0005-0000-0000-0000A1010000}"/>
    <cellStyle name="SAPBEXstdData 2 7" xfId="308" xr:uid="{00000000-0005-0000-0000-0000A2010000}"/>
    <cellStyle name="SAPBEXstdData 2 8" xfId="309" xr:uid="{00000000-0005-0000-0000-0000A3010000}"/>
    <cellStyle name="SAPBEXstdData 2 9" xfId="310" xr:uid="{00000000-0005-0000-0000-0000A4010000}"/>
    <cellStyle name="SAPBEXstdData 3" xfId="311" xr:uid="{00000000-0005-0000-0000-0000A5010000}"/>
    <cellStyle name="SAPBEXstdData 3 2" xfId="396" xr:uid="{00000000-0005-0000-0000-0000A6010000}"/>
    <cellStyle name="SAPBEXstdData 3 2 2" xfId="533" xr:uid="{00000000-0005-0000-0000-0000A7010000}"/>
    <cellStyle name="SAPBEXstdData 3 3" xfId="429" xr:uid="{00000000-0005-0000-0000-0000A8010000}"/>
    <cellStyle name="SAPBEXstdData 3 3 2" xfId="534" xr:uid="{00000000-0005-0000-0000-0000A9010000}"/>
    <cellStyle name="SAPBEXstdData 3 4" xfId="457" xr:uid="{00000000-0005-0000-0000-0000AA010000}"/>
    <cellStyle name="SAPBEXstdData 3 4 2" xfId="535" xr:uid="{00000000-0005-0000-0000-0000AB010000}"/>
    <cellStyle name="SAPBEXstdData 3 5" xfId="536" xr:uid="{00000000-0005-0000-0000-0000AC010000}"/>
    <cellStyle name="SAPBEXstdData 3 5 2" xfId="537" xr:uid="{00000000-0005-0000-0000-0000AD010000}"/>
    <cellStyle name="SAPBEXstdData 3 6" xfId="538" xr:uid="{00000000-0005-0000-0000-0000AE010000}"/>
    <cellStyle name="SAPBEXstdData 4" xfId="312" xr:uid="{00000000-0005-0000-0000-0000AF010000}"/>
    <cellStyle name="SAPBEXstdData 4 2" xfId="444" xr:uid="{00000000-0005-0000-0000-0000B0010000}"/>
    <cellStyle name="SAPBEXstdData 4 2 2" xfId="539" xr:uid="{00000000-0005-0000-0000-0000B1010000}"/>
    <cellStyle name="SAPBEXstdData 4 3" xfId="540" xr:uid="{00000000-0005-0000-0000-0000B2010000}"/>
    <cellStyle name="SAPBEXstdData 4 3 2" xfId="541" xr:uid="{00000000-0005-0000-0000-0000B3010000}"/>
    <cellStyle name="SAPBEXstdData 4 4" xfId="542" xr:uid="{00000000-0005-0000-0000-0000B4010000}"/>
    <cellStyle name="SAPBEXstdData 5" xfId="313" xr:uid="{00000000-0005-0000-0000-0000B5010000}"/>
    <cellStyle name="SAPBEXstdData 5 2" xfId="448" xr:uid="{00000000-0005-0000-0000-0000B6010000}"/>
    <cellStyle name="SAPBEXstdData 5 2 2" xfId="543" xr:uid="{00000000-0005-0000-0000-0000B7010000}"/>
    <cellStyle name="SAPBEXstdData 5 3" xfId="544" xr:uid="{00000000-0005-0000-0000-0000B8010000}"/>
    <cellStyle name="SAPBEXstdData 5 3 2" xfId="545" xr:uid="{00000000-0005-0000-0000-0000B9010000}"/>
    <cellStyle name="SAPBEXstdData 5 4" xfId="546" xr:uid="{00000000-0005-0000-0000-0000BA010000}"/>
    <cellStyle name="SAPBEXstdData 6" xfId="314" xr:uid="{00000000-0005-0000-0000-0000BB010000}"/>
    <cellStyle name="SAPBEXstdData 6 2" xfId="452" xr:uid="{00000000-0005-0000-0000-0000BC010000}"/>
    <cellStyle name="SAPBEXstdData 6 2 2" xfId="547" xr:uid="{00000000-0005-0000-0000-0000BD010000}"/>
    <cellStyle name="SAPBEXstdData 6 3" xfId="548" xr:uid="{00000000-0005-0000-0000-0000BE010000}"/>
    <cellStyle name="SAPBEXstdData 6 3 2" xfId="549" xr:uid="{00000000-0005-0000-0000-0000BF010000}"/>
    <cellStyle name="SAPBEXstdData 6 4" xfId="550" xr:uid="{00000000-0005-0000-0000-0000C0010000}"/>
    <cellStyle name="SAPBEXstdData 7" xfId="315" xr:uid="{00000000-0005-0000-0000-0000C1010000}"/>
    <cellStyle name="SAPBEXstdData 7 2" xfId="551" xr:uid="{00000000-0005-0000-0000-0000C2010000}"/>
    <cellStyle name="SAPBEXstdData 8" xfId="316" xr:uid="{00000000-0005-0000-0000-0000C3010000}"/>
    <cellStyle name="SAPBEXstdData 8 2" xfId="552" xr:uid="{00000000-0005-0000-0000-0000C4010000}"/>
    <cellStyle name="SAPBEXstdData 9" xfId="317" xr:uid="{00000000-0005-0000-0000-0000C5010000}"/>
    <cellStyle name="SAPBEXstdItem" xfId="318" xr:uid="{00000000-0005-0000-0000-0000C6010000}"/>
    <cellStyle name="SAPBEXstdItem 10" xfId="319" xr:uid="{00000000-0005-0000-0000-0000C7010000}"/>
    <cellStyle name="SAPBEXstdItem 11" xfId="320" xr:uid="{00000000-0005-0000-0000-0000C8010000}"/>
    <cellStyle name="SAPBEXstdItem 12" xfId="321" xr:uid="{00000000-0005-0000-0000-0000C9010000}"/>
    <cellStyle name="SAPBEXstdItem 13" xfId="322" xr:uid="{00000000-0005-0000-0000-0000CA010000}"/>
    <cellStyle name="SAPBEXstdItem 14" xfId="323" xr:uid="{00000000-0005-0000-0000-0000CB010000}"/>
    <cellStyle name="SAPBEXstdItem 15" xfId="324" xr:uid="{00000000-0005-0000-0000-0000CC010000}"/>
    <cellStyle name="SAPBEXstdItem 16" xfId="325" xr:uid="{00000000-0005-0000-0000-0000CD010000}"/>
    <cellStyle name="SAPBEXstdItem 17" xfId="326" xr:uid="{00000000-0005-0000-0000-0000CE010000}"/>
    <cellStyle name="SAPBEXstdItem 18" xfId="327" xr:uid="{00000000-0005-0000-0000-0000CF010000}"/>
    <cellStyle name="SAPBEXstdItem 19" xfId="328" xr:uid="{00000000-0005-0000-0000-0000D0010000}"/>
    <cellStyle name="SAPBEXstdItem 2" xfId="329" xr:uid="{00000000-0005-0000-0000-0000D1010000}"/>
    <cellStyle name="SAPBEXstdItem 2 10" xfId="330" xr:uid="{00000000-0005-0000-0000-0000D2010000}"/>
    <cellStyle name="SAPBEXstdItem 2 11" xfId="331" xr:uid="{00000000-0005-0000-0000-0000D3010000}"/>
    <cellStyle name="SAPBEXstdItem 2 12" xfId="332" xr:uid="{00000000-0005-0000-0000-0000D4010000}"/>
    <cellStyle name="SAPBEXstdItem 2 13" xfId="333" xr:uid="{00000000-0005-0000-0000-0000D5010000}"/>
    <cellStyle name="SAPBEXstdItem 2 14" xfId="334" xr:uid="{00000000-0005-0000-0000-0000D6010000}"/>
    <cellStyle name="SAPBEXstdItem 2 2" xfId="335" xr:uid="{00000000-0005-0000-0000-0000D7010000}"/>
    <cellStyle name="SAPBEXstdItem 2 2 2" xfId="397" xr:uid="{00000000-0005-0000-0000-0000D8010000}"/>
    <cellStyle name="SAPBEXstdItem 2 2 2 2" xfId="553" xr:uid="{00000000-0005-0000-0000-0000D9010000}"/>
    <cellStyle name="SAPBEXstdItem 2 2 3" xfId="430" xr:uid="{00000000-0005-0000-0000-0000DA010000}"/>
    <cellStyle name="SAPBEXstdItem 2 2 3 2" xfId="554" xr:uid="{00000000-0005-0000-0000-0000DB010000}"/>
    <cellStyle name="SAPBEXstdItem 2 2 4" xfId="458" xr:uid="{00000000-0005-0000-0000-0000DC010000}"/>
    <cellStyle name="SAPBEXstdItem 2 2 4 2" xfId="555" xr:uid="{00000000-0005-0000-0000-0000DD010000}"/>
    <cellStyle name="SAPBEXstdItem 2 2 5" xfId="556" xr:uid="{00000000-0005-0000-0000-0000DE010000}"/>
    <cellStyle name="SAPBEXstdItem 2 3" xfId="336" xr:uid="{00000000-0005-0000-0000-0000DF010000}"/>
    <cellStyle name="SAPBEXstdItem 2 3 2" xfId="557" xr:uid="{00000000-0005-0000-0000-0000E0010000}"/>
    <cellStyle name="SAPBEXstdItem 2 4" xfId="337" xr:uid="{00000000-0005-0000-0000-0000E1010000}"/>
    <cellStyle name="SAPBEXstdItem 2 4 2" xfId="558" xr:uid="{00000000-0005-0000-0000-0000E2010000}"/>
    <cellStyle name="SAPBEXstdItem 2 5" xfId="338" xr:uid="{00000000-0005-0000-0000-0000E3010000}"/>
    <cellStyle name="SAPBEXstdItem 2 5 2" xfId="559" xr:uid="{00000000-0005-0000-0000-0000E4010000}"/>
    <cellStyle name="SAPBEXstdItem 2 6" xfId="339" xr:uid="{00000000-0005-0000-0000-0000E5010000}"/>
    <cellStyle name="SAPBEXstdItem 2 6 2" xfId="560" xr:uid="{00000000-0005-0000-0000-0000E6010000}"/>
    <cellStyle name="SAPBEXstdItem 2 7" xfId="340" xr:uid="{00000000-0005-0000-0000-0000E7010000}"/>
    <cellStyle name="SAPBEXstdItem 2 8" xfId="341" xr:uid="{00000000-0005-0000-0000-0000E8010000}"/>
    <cellStyle name="SAPBEXstdItem 2 9" xfId="342" xr:uid="{00000000-0005-0000-0000-0000E9010000}"/>
    <cellStyle name="SAPBEXstdItem 3" xfId="343" xr:uid="{00000000-0005-0000-0000-0000EA010000}"/>
    <cellStyle name="SAPBEXstdItem 3 2" xfId="398" xr:uid="{00000000-0005-0000-0000-0000EB010000}"/>
    <cellStyle name="SAPBEXstdItem 3 2 2" xfId="561" xr:uid="{00000000-0005-0000-0000-0000EC010000}"/>
    <cellStyle name="SAPBEXstdItem 3 3" xfId="431" xr:uid="{00000000-0005-0000-0000-0000ED010000}"/>
    <cellStyle name="SAPBEXstdItem 3 3 2" xfId="562" xr:uid="{00000000-0005-0000-0000-0000EE010000}"/>
    <cellStyle name="SAPBEXstdItem 3 4" xfId="459" xr:uid="{00000000-0005-0000-0000-0000EF010000}"/>
    <cellStyle name="SAPBEXstdItem 3 4 2" xfId="563" xr:uid="{00000000-0005-0000-0000-0000F0010000}"/>
    <cellStyle name="SAPBEXstdItem 3 5" xfId="564" xr:uid="{00000000-0005-0000-0000-0000F1010000}"/>
    <cellStyle name="SAPBEXstdItem 3 5 2" xfId="565" xr:uid="{00000000-0005-0000-0000-0000F2010000}"/>
    <cellStyle name="SAPBEXstdItem 3 6" xfId="566" xr:uid="{00000000-0005-0000-0000-0000F3010000}"/>
    <cellStyle name="SAPBEXstdItem 4" xfId="344" xr:uid="{00000000-0005-0000-0000-0000F4010000}"/>
    <cellStyle name="SAPBEXstdItem 4 2" xfId="443" xr:uid="{00000000-0005-0000-0000-0000F5010000}"/>
    <cellStyle name="SAPBEXstdItem 4 2 2" xfId="567" xr:uid="{00000000-0005-0000-0000-0000F6010000}"/>
    <cellStyle name="SAPBEXstdItem 4 3" xfId="568" xr:uid="{00000000-0005-0000-0000-0000F7010000}"/>
    <cellStyle name="SAPBEXstdItem 4 3 2" xfId="569" xr:uid="{00000000-0005-0000-0000-0000F8010000}"/>
    <cellStyle name="SAPBEXstdItem 4 4" xfId="570" xr:uid="{00000000-0005-0000-0000-0000F9010000}"/>
    <cellStyle name="SAPBEXstdItem 5" xfId="345" xr:uid="{00000000-0005-0000-0000-0000FA010000}"/>
    <cellStyle name="SAPBEXstdItem 5 2" xfId="447" xr:uid="{00000000-0005-0000-0000-0000FB010000}"/>
    <cellStyle name="SAPBEXstdItem 5 2 2" xfId="571" xr:uid="{00000000-0005-0000-0000-0000FC010000}"/>
    <cellStyle name="SAPBEXstdItem 5 3" xfId="572" xr:uid="{00000000-0005-0000-0000-0000FD010000}"/>
    <cellStyle name="SAPBEXstdItem 5 3 2" xfId="573" xr:uid="{00000000-0005-0000-0000-0000FE010000}"/>
    <cellStyle name="SAPBEXstdItem 5 4" xfId="574" xr:uid="{00000000-0005-0000-0000-0000FF010000}"/>
    <cellStyle name="SAPBEXstdItem 6" xfId="346" xr:uid="{00000000-0005-0000-0000-000000020000}"/>
    <cellStyle name="SAPBEXstdItem 6 2" xfId="451" xr:uid="{00000000-0005-0000-0000-000001020000}"/>
    <cellStyle name="SAPBEXstdItem 6 2 2" xfId="575" xr:uid="{00000000-0005-0000-0000-000002020000}"/>
    <cellStyle name="SAPBEXstdItem 6 3" xfId="576" xr:uid="{00000000-0005-0000-0000-000003020000}"/>
    <cellStyle name="SAPBEXstdItem 6 3 2" xfId="577" xr:uid="{00000000-0005-0000-0000-000004020000}"/>
    <cellStyle name="SAPBEXstdItem 6 4" xfId="578" xr:uid="{00000000-0005-0000-0000-000005020000}"/>
    <cellStyle name="SAPBEXstdItem 7" xfId="347" xr:uid="{00000000-0005-0000-0000-000006020000}"/>
    <cellStyle name="SAPBEXstdItem 7 2" xfId="579" xr:uid="{00000000-0005-0000-0000-000007020000}"/>
    <cellStyle name="SAPBEXstdItem 8" xfId="348" xr:uid="{00000000-0005-0000-0000-000008020000}"/>
    <cellStyle name="SAPBEXstdItem 8 2" xfId="580" xr:uid="{00000000-0005-0000-0000-000009020000}"/>
    <cellStyle name="SAPBEXstdItem 9" xfId="349" xr:uid="{00000000-0005-0000-0000-00000A020000}"/>
    <cellStyle name="SAPBEXstdItemX" xfId="350" xr:uid="{00000000-0005-0000-0000-00000B020000}"/>
    <cellStyle name="SAPBEXstdItemX 10" xfId="351" xr:uid="{00000000-0005-0000-0000-00000C020000}"/>
    <cellStyle name="SAPBEXstdItemX 11" xfId="352" xr:uid="{00000000-0005-0000-0000-00000D020000}"/>
    <cellStyle name="SAPBEXstdItemX 12" xfId="353" xr:uid="{00000000-0005-0000-0000-00000E020000}"/>
    <cellStyle name="SAPBEXstdItemX 13" xfId="354" xr:uid="{00000000-0005-0000-0000-00000F020000}"/>
    <cellStyle name="SAPBEXstdItemX 14" xfId="355" xr:uid="{00000000-0005-0000-0000-000010020000}"/>
    <cellStyle name="SAPBEXstdItemX 15" xfId="356" xr:uid="{00000000-0005-0000-0000-000011020000}"/>
    <cellStyle name="SAPBEXstdItemX 16" xfId="357" xr:uid="{00000000-0005-0000-0000-000012020000}"/>
    <cellStyle name="SAPBEXstdItemX 17" xfId="358" xr:uid="{00000000-0005-0000-0000-000013020000}"/>
    <cellStyle name="SAPBEXstdItemX 18" xfId="359" xr:uid="{00000000-0005-0000-0000-000014020000}"/>
    <cellStyle name="SAPBEXstdItemX 19" xfId="360" xr:uid="{00000000-0005-0000-0000-000015020000}"/>
    <cellStyle name="SAPBEXstdItemX 2" xfId="361" xr:uid="{00000000-0005-0000-0000-000016020000}"/>
    <cellStyle name="SAPBEXstdItemX 2 10" xfId="362" xr:uid="{00000000-0005-0000-0000-000017020000}"/>
    <cellStyle name="SAPBEXstdItemX 2 11" xfId="363" xr:uid="{00000000-0005-0000-0000-000018020000}"/>
    <cellStyle name="SAPBEXstdItemX 2 12" xfId="364" xr:uid="{00000000-0005-0000-0000-000019020000}"/>
    <cellStyle name="SAPBEXstdItemX 2 13" xfId="365" xr:uid="{00000000-0005-0000-0000-00001A020000}"/>
    <cellStyle name="SAPBEXstdItemX 2 14" xfId="366" xr:uid="{00000000-0005-0000-0000-00001B020000}"/>
    <cellStyle name="SAPBEXstdItemX 2 2" xfId="367" xr:uid="{00000000-0005-0000-0000-00001C020000}"/>
    <cellStyle name="SAPBEXstdItemX 2 2 2" xfId="399" xr:uid="{00000000-0005-0000-0000-00001D020000}"/>
    <cellStyle name="SAPBEXstdItemX 2 2 2 2" xfId="581" xr:uid="{00000000-0005-0000-0000-00001E020000}"/>
    <cellStyle name="SAPBEXstdItemX 2 2 3" xfId="432" xr:uid="{00000000-0005-0000-0000-00001F020000}"/>
    <cellStyle name="SAPBEXstdItemX 2 2 3 2" xfId="582" xr:uid="{00000000-0005-0000-0000-000020020000}"/>
    <cellStyle name="SAPBEXstdItemX 2 2 4" xfId="460" xr:uid="{00000000-0005-0000-0000-000021020000}"/>
    <cellStyle name="SAPBEXstdItemX 2 2 4 2" xfId="583" xr:uid="{00000000-0005-0000-0000-000022020000}"/>
    <cellStyle name="SAPBEXstdItemX 2 2 5" xfId="584" xr:uid="{00000000-0005-0000-0000-000023020000}"/>
    <cellStyle name="SAPBEXstdItemX 2 3" xfId="368" xr:uid="{00000000-0005-0000-0000-000024020000}"/>
    <cellStyle name="SAPBEXstdItemX 2 3 2" xfId="585" xr:uid="{00000000-0005-0000-0000-000025020000}"/>
    <cellStyle name="SAPBEXstdItemX 2 4" xfId="369" xr:uid="{00000000-0005-0000-0000-000026020000}"/>
    <cellStyle name="SAPBEXstdItemX 2 4 2" xfId="586" xr:uid="{00000000-0005-0000-0000-000027020000}"/>
    <cellStyle name="SAPBEXstdItemX 2 5" xfId="370" xr:uid="{00000000-0005-0000-0000-000028020000}"/>
    <cellStyle name="SAPBEXstdItemX 2 5 2" xfId="587" xr:uid="{00000000-0005-0000-0000-000029020000}"/>
    <cellStyle name="SAPBEXstdItemX 2 6" xfId="371" xr:uid="{00000000-0005-0000-0000-00002A020000}"/>
    <cellStyle name="SAPBEXstdItemX 2 6 2" xfId="588" xr:uid="{00000000-0005-0000-0000-00002B020000}"/>
    <cellStyle name="SAPBEXstdItemX 2 7" xfId="372" xr:uid="{00000000-0005-0000-0000-00002C020000}"/>
    <cellStyle name="SAPBEXstdItemX 2 8" xfId="373" xr:uid="{00000000-0005-0000-0000-00002D020000}"/>
    <cellStyle name="SAPBEXstdItemX 2 9" xfId="374" xr:uid="{00000000-0005-0000-0000-00002E020000}"/>
    <cellStyle name="SAPBEXstdItemX 3" xfId="375" xr:uid="{00000000-0005-0000-0000-00002F020000}"/>
    <cellStyle name="SAPBEXstdItemX 3 2" xfId="400" xr:uid="{00000000-0005-0000-0000-000030020000}"/>
    <cellStyle name="SAPBEXstdItemX 3 2 2" xfId="589" xr:uid="{00000000-0005-0000-0000-000031020000}"/>
    <cellStyle name="SAPBEXstdItemX 3 3" xfId="433" xr:uid="{00000000-0005-0000-0000-000032020000}"/>
    <cellStyle name="SAPBEXstdItemX 3 3 2" xfId="590" xr:uid="{00000000-0005-0000-0000-000033020000}"/>
    <cellStyle name="SAPBEXstdItemX 3 4" xfId="461" xr:uid="{00000000-0005-0000-0000-000034020000}"/>
    <cellStyle name="SAPBEXstdItemX 3 4 2" xfId="591" xr:uid="{00000000-0005-0000-0000-000035020000}"/>
    <cellStyle name="SAPBEXstdItemX 3 5" xfId="592" xr:uid="{00000000-0005-0000-0000-000036020000}"/>
    <cellStyle name="SAPBEXstdItemX 3 5 2" xfId="593" xr:uid="{00000000-0005-0000-0000-000037020000}"/>
    <cellStyle name="SAPBEXstdItemX 3 6" xfId="594" xr:uid="{00000000-0005-0000-0000-000038020000}"/>
    <cellStyle name="SAPBEXstdItemX 4" xfId="376" xr:uid="{00000000-0005-0000-0000-000039020000}"/>
    <cellStyle name="SAPBEXstdItemX 4 2" xfId="442" xr:uid="{00000000-0005-0000-0000-00003A020000}"/>
    <cellStyle name="SAPBEXstdItemX 4 2 2" xfId="595" xr:uid="{00000000-0005-0000-0000-00003B020000}"/>
    <cellStyle name="SAPBEXstdItemX 4 3" xfId="596" xr:uid="{00000000-0005-0000-0000-00003C020000}"/>
    <cellStyle name="SAPBEXstdItemX 4 3 2" xfId="597" xr:uid="{00000000-0005-0000-0000-00003D020000}"/>
    <cellStyle name="SAPBEXstdItemX 4 4" xfId="598" xr:uid="{00000000-0005-0000-0000-00003E020000}"/>
    <cellStyle name="SAPBEXstdItemX 5" xfId="377" xr:uid="{00000000-0005-0000-0000-00003F020000}"/>
    <cellStyle name="SAPBEXstdItemX 5 2" xfId="446" xr:uid="{00000000-0005-0000-0000-000040020000}"/>
    <cellStyle name="SAPBEXstdItemX 5 2 2" xfId="599" xr:uid="{00000000-0005-0000-0000-000041020000}"/>
    <cellStyle name="SAPBEXstdItemX 5 3" xfId="600" xr:uid="{00000000-0005-0000-0000-000042020000}"/>
    <cellStyle name="SAPBEXstdItemX 5 3 2" xfId="601" xr:uid="{00000000-0005-0000-0000-000043020000}"/>
    <cellStyle name="SAPBEXstdItemX 5 4" xfId="602" xr:uid="{00000000-0005-0000-0000-000044020000}"/>
    <cellStyle name="SAPBEXstdItemX 6" xfId="378" xr:uid="{00000000-0005-0000-0000-000045020000}"/>
    <cellStyle name="SAPBEXstdItemX 6 2" xfId="450" xr:uid="{00000000-0005-0000-0000-000046020000}"/>
    <cellStyle name="SAPBEXstdItemX 6 2 2" xfId="603" xr:uid="{00000000-0005-0000-0000-000047020000}"/>
    <cellStyle name="SAPBEXstdItemX 6 3" xfId="604" xr:uid="{00000000-0005-0000-0000-000048020000}"/>
    <cellStyle name="SAPBEXstdItemX 6 3 2" xfId="605" xr:uid="{00000000-0005-0000-0000-000049020000}"/>
    <cellStyle name="SAPBEXstdItemX 6 4" xfId="606" xr:uid="{00000000-0005-0000-0000-00004A020000}"/>
    <cellStyle name="SAPBEXstdItemX 7" xfId="379" xr:uid="{00000000-0005-0000-0000-00004B020000}"/>
    <cellStyle name="SAPBEXstdItemX 7 2" xfId="607" xr:uid="{00000000-0005-0000-0000-00004C020000}"/>
    <cellStyle name="SAPBEXstdItemX 8" xfId="380" xr:uid="{00000000-0005-0000-0000-00004D020000}"/>
    <cellStyle name="SAPBEXstdItemX 8 2" xfId="608" xr:uid="{00000000-0005-0000-0000-00004E020000}"/>
    <cellStyle name="SAPBEXstdItemX 9" xfId="381" xr:uid="{00000000-0005-0000-0000-00004F020000}"/>
    <cellStyle name="Style 1" xfId="382" xr:uid="{00000000-0005-0000-0000-000050020000}"/>
    <cellStyle name="Style 1 2" xfId="383" xr:uid="{00000000-0005-0000-0000-000051020000}"/>
    <cellStyle name="Style 1 2 2" xfId="384" xr:uid="{00000000-0005-0000-0000-000052020000}"/>
    <cellStyle name="Style 1 3" xfId="466" xr:uid="{00000000-0005-0000-0000-000053020000}"/>
    <cellStyle name="표준 7" xfId="385" xr:uid="{00000000-0005-0000-0000-000054020000}"/>
    <cellStyle name="표준_1215ToolingInventory" xfId="386" xr:uid="{00000000-0005-0000-0000-000055020000}"/>
    <cellStyle name="一般 2" xfId="419" xr:uid="{00000000-0005-0000-0000-000056020000}"/>
    <cellStyle name="一般 4" xfId="420" xr:uid="{00000000-0005-0000-0000-000057020000}"/>
    <cellStyle name="一般_11-01 RPM SIT_1012'051" xfId="387" xr:uid="{00000000-0005-0000-0000-000058020000}"/>
    <cellStyle name="中等 2 2" xfId="421" xr:uid="{00000000-0005-0000-0000-000059020000}"/>
    <cellStyle name="壞 2 2" xfId="422" xr:uid="{00000000-0005-0000-0000-00005A020000}"/>
    <cellStyle name="好 2" xfId="423" xr:uid="{00000000-0005-0000-0000-00005B020000}"/>
    <cellStyle name="常规 63" xfId="424" xr:uid="{00000000-0005-0000-0000-00005C020000}"/>
    <cellStyle name="常规 79" xfId="388" xr:uid="{00000000-0005-0000-0000-00005D020000}"/>
    <cellStyle name="常规 99" xfId="389" xr:uid="{00000000-0005-0000-0000-00005E020000}"/>
    <cellStyle name="常规_Sheet1" xfId="425" xr:uid="{00000000-0005-0000-0000-00005F020000}"/>
    <cellStyle name="樣式 1" xfId="390" xr:uid="{00000000-0005-0000-0000-000060020000}"/>
  </cellStyles>
  <dxfs count="0"/>
  <tableStyles count="0" defaultTableStyle="TableStyleMedium2" defaultPivotStyle="PivotStyleLight16"/>
  <colors>
    <mruColors>
      <color rgb="FFFF66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Graphic!$C$5</c:f>
              <c:strCache>
                <c:ptCount val="1"/>
                <c:pt idx="0">
                  <c:v>A-Grade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(Graphic!$D$3,Graphic!$F$3,Graphic!$H$3,Graphic!$J$3,Graphic!$L$3,Graphic!$N$3,Graphic!$P$3)</c:f>
              <c:strCache>
                <c:ptCount val="6"/>
                <c:pt idx="0">
                  <c:v>7/1</c:v>
                </c:pt>
                <c:pt idx="1">
                  <c:v>7/4</c:v>
                </c:pt>
                <c:pt idx="5">
                  <c:v>TOTAL</c:v>
                </c:pt>
              </c:strCache>
            </c:strRef>
          </c:cat>
          <c:val>
            <c:numRef>
              <c:f>(Graphic!$E$5,Graphic!$G$5,Graphic!$I$5,Graphic!$K$5,Graphic!$M$5,Graphic!$O$5,Graphic!$Q$5)</c:f>
              <c:numCache>
                <c:formatCode>0.00%</c:formatCode>
                <c:ptCount val="6"/>
                <c:pt idx="0">
                  <c:v>0</c:v>
                </c:pt>
                <c:pt idx="1">
                  <c:v>0.97826086956521741</c:v>
                </c:pt>
                <c:pt idx="2">
                  <c:v>0.93548387096774188</c:v>
                </c:pt>
                <c:pt idx="3">
                  <c:v>0.99459459459459465</c:v>
                </c:pt>
                <c:pt idx="4">
                  <c:v>0.9821428571428571</c:v>
                </c:pt>
                <c:pt idx="5">
                  <c:v>0.97671410090556277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E-4F56-9F46-ED5FFD42A092}"/>
            </c:ext>
          </c:extLst>
        </c:ser>
        <c:ser>
          <c:idx val="1"/>
          <c:order val="1"/>
          <c:tx>
            <c:strRef>
              <c:f>Graphic!$C$6</c:f>
              <c:strCache>
                <c:ptCount val="1"/>
                <c:pt idx="0">
                  <c:v>B-Grade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(Graphic!$D$3,Graphic!$F$3,Graphic!$H$3,Graphic!$J$3,Graphic!$L$3,Graphic!$N$3,Graphic!$P$3)</c:f>
              <c:strCache>
                <c:ptCount val="6"/>
                <c:pt idx="0">
                  <c:v>7/1</c:v>
                </c:pt>
                <c:pt idx="1">
                  <c:v>7/4</c:v>
                </c:pt>
                <c:pt idx="5">
                  <c:v>TOTAL</c:v>
                </c:pt>
              </c:strCache>
            </c:strRef>
          </c:cat>
          <c:val>
            <c:numRef>
              <c:f>(Graphic!$E$6,Graphic!$G$6,Graphic!$I$6,Graphic!$K$6,Graphic!$M$6,Graphic!$O$6,Graphic!$Q$6)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FE-4F56-9F46-ED5FFD42A092}"/>
            </c:ext>
          </c:extLst>
        </c:ser>
        <c:ser>
          <c:idx val="2"/>
          <c:order val="2"/>
          <c:tx>
            <c:strRef>
              <c:f>Graphic!$C$7</c:f>
              <c:strCache>
                <c:ptCount val="1"/>
                <c:pt idx="0">
                  <c:v>C-Grade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dLbls>
            <c:dLbl>
              <c:idx val="3"/>
              <c:layout>
                <c:manualLayout>
                  <c:x val="2.6376524892845368E-3"/>
                  <c:y val="-3.48215668882543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FE-4F56-9F46-ED5FFD42A092}"/>
                </c:ext>
              </c:extLst>
            </c:dLbl>
            <c:dLbl>
              <c:idx val="4"/>
              <c:layout>
                <c:manualLayout>
                  <c:x val="9.2317837124958786E-3"/>
                  <c:y val="-3.48215668882543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FE-4F56-9F46-ED5FFD42A092}"/>
                </c:ext>
              </c:extLst>
            </c:dLbl>
            <c:dLbl>
              <c:idx val="5"/>
              <c:layout>
                <c:manualLayout>
                  <c:x val="7.9129574678535129E-3"/>
                  <c:y val="-3.04688710272225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0FE-4F56-9F46-ED5FFD42A092}"/>
                </c:ext>
              </c:extLst>
            </c:dLbl>
            <c:dLbl>
              <c:idx val="6"/>
              <c:layout>
                <c:manualLayout>
                  <c:x val="5.2753049785689765E-3"/>
                  <c:y val="-3.91742627492861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0FE-4F56-9F46-ED5FFD42A0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(Graphic!$D$3,Graphic!$F$3,Graphic!$H$3,Graphic!$J$3,Graphic!$L$3,Graphic!$N$3,Graphic!$P$3)</c:f>
              <c:strCache>
                <c:ptCount val="6"/>
                <c:pt idx="0">
                  <c:v>7/1</c:v>
                </c:pt>
                <c:pt idx="1">
                  <c:v>7/4</c:v>
                </c:pt>
                <c:pt idx="5">
                  <c:v>TOTAL</c:v>
                </c:pt>
              </c:strCache>
            </c:strRef>
          </c:cat>
          <c:val>
            <c:numRef>
              <c:f>(Graphic!$E$7,Graphic!$G$7,Graphic!$I$7,Graphic!$K$7,Graphic!$M$7,Graphic!$O$7,Graphic!$Q$7)</c:f>
              <c:numCache>
                <c:formatCode>0.00%</c:formatCode>
                <c:ptCount val="6"/>
                <c:pt idx="0">
                  <c:v>1</c:v>
                </c:pt>
                <c:pt idx="1">
                  <c:v>2.1739130434782608E-2</c:v>
                </c:pt>
                <c:pt idx="2">
                  <c:v>6.4516129032258063E-2</c:v>
                </c:pt>
                <c:pt idx="3">
                  <c:v>5.4054054054054057E-3</c:v>
                </c:pt>
                <c:pt idx="4">
                  <c:v>1.7857142857142856E-2</c:v>
                </c:pt>
                <c:pt idx="5">
                  <c:v>2.3285899094437259E-2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FE-4F56-9F46-ED5FFD42A0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box"/>
        <c:axId val="35617792"/>
        <c:axId val="49333376"/>
        <c:axId val="0"/>
      </c:bar3DChart>
      <c:catAx>
        <c:axId val="3561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9333376"/>
        <c:crosses val="autoZero"/>
        <c:auto val="1"/>
        <c:lblAlgn val="ctr"/>
        <c:lblOffset val="100"/>
        <c:noMultiLvlLbl val="0"/>
      </c:catAx>
      <c:valAx>
        <c:axId val="4933337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561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Graphic!$T$5</c:f>
              <c:strCache>
                <c:ptCount val="1"/>
                <c:pt idx="0">
                  <c:v>A-Grade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(Graphic!$U$3,Graphic!$W$3,Graphic!$Y$3,Graphic!$AA$3,Graphic!$AC$3,Graphic!$AE$3,Graphic!$AG$3)</c:f>
              <c:strCache>
                <c:ptCount val="6"/>
                <c:pt idx="0">
                  <c:v>7/11</c:v>
                </c:pt>
                <c:pt idx="1">
                  <c:v>7/12</c:v>
                </c:pt>
                <c:pt idx="2">
                  <c:v>7/13</c:v>
                </c:pt>
                <c:pt idx="3">
                  <c:v>7/14</c:v>
                </c:pt>
                <c:pt idx="4">
                  <c:v>7/15</c:v>
                </c:pt>
                <c:pt idx="5">
                  <c:v>TOTAL</c:v>
                </c:pt>
              </c:strCache>
            </c:strRef>
          </c:cat>
          <c:val>
            <c:numRef>
              <c:f>(Graphic!$V$5,Graphic!$X$5,Graphic!$Z$5,Graphic!$AB$5,Graphic!$AD$5,Graphic!$AF$5,Graphic!$AH$5)</c:f>
              <c:numCache>
                <c:formatCode>0.00%</c:formatCode>
                <c:ptCount val="6"/>
                <c:pt idx="0">
                  <c:v>0.9951845906902087</c:v>
                </c:pt>
                <c:pt idx="1">
                  <c:v>0.99087353324641458</c:v>
                </c:pt>
                <c:pt idx="2">
                  <c:v>0.98539682539682538</c:v>
                </c:pt>
                <c:pt idx="3">
                  <c:v>0.98765432098765427</c:v>
                </c:pt>
                <c:pt idx="4">
                  <c:v>0</c:v>
                </c:pt>
                <c:pt idx="5">
                  <c:v>0.98863021115322147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D-49DE-B7F0-9CA80304EC5C}"/>
            </c:ext>
          </c:extLst>
        </c:ser>
        <c:ser>
          <c:idx val="1"/>
          <c:order val="1"/>
          <c:tx>
            <c:strRef>
              <c:f>Graphic!$T$6</c:f>
              <c:strCache>
                <c:ptCount val="1"/>
                <c:pt idx="0">
                  <c:v>B-Grade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(Graphic!$U$3,Graphic!$W$3,Graphic!$Y$3,Graphic!$AA$3,Graphic!$AC$3,Graphic!$AE$3,Graphic!$AG$3)</c:f>
              <c:strCache>
                <c:ptCount val="6"/>
                <c:pt idx="0">
                  <c:v>7/11</c:v>
                </c:pt>
                <c:pt idx="1">
                  <c:v>7/12</c:v>
                </c:pt>
                <c:pt idx="2">
                  <c:v>7/13</c:v>
                </c:pt>
                <c:pt idx="3">
                  <c:v>7/14</c:v>
                </c:pt>
                <c:pt idx="4">
                  <c:v>7/15</c:v>
                </c:pt>
                <c:pt idx="5">
                  <c:v>TOTAL</c:v>
                </c:pt>
              </c:strCache>
            </c:strRef>
          </c:cat>
          <c:val>
            <c:numRef>
              <c:f>(Graphic!$V$6,Graphic!$X$6,Graphic!$Z$6,Graphic!$AB$6,Graphic!$AD$6,Graphic!$AF$6,Graphic!$AH$6)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3D-49DE-B7F0-9CA80304EC5C}"/>
            </c:ext>
          </c:extLst>
        </c:ser>
        <c:ser>
          <c:idx val="2"/>
          <c:order val="2"/>
          <c:tx>
            <c:strRef>
              <c:f>Graphic!$T$7</c:f>
              <c:strCache>
                <c:ptCount val="1"/>
                <c:pt idx="0">
                  <c:v>C-Grade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6.6218722212251753E-3"/>
                  <c:y val="-3.46883409618093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83D-49DE-B7F0-9CA80304EC5C}"/>
                </c:ext>
              </c:extLst>
            </c:dLbl>
            <c:dLbl>
              <c:idx val="2"/>
              <c:layout>
                <c:manualLayout>
                  <c:x val="5.2974977769801408E-3"/>
                  <c:y val="-3.46883409618093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3D-49DE-B7F0-9CA80304EC5C}"/>
                </c:ext>
              </c:extLst>
            </c:dLbl>
            <c:dLbl>
              <c:idx val="6"/>
              <c:layout>
                <c:manualLayout>
                  <c:x val="3.9317724987681622E-3"/>
                  <c:y val="-3.03522983415831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83D-49DE-B7F0-9CA80304EC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(Graphic!$U$3,Graphic!$W$3,Graphic!$Y$3,Graphic!$AA$3,Graphic!$AC$3,Graphic!$AE$3,Graphic!$AG$3)</c:f>
              <c:strCache>
                <c:ptCount val="6"/>
                <c:pt idx="0">
                  <c:v>7/11</c:v>
                </c:pt>
                <c:pt idx="1">
                  <c:v>7/12</c:v>
                </c:pt>
                <c:pt idx="2">
                  <c:v>7/13</c:v>
                </c:pt>
                <c:pt idx="3">
                  <c:v>7/14</c:v>
                </c:pt>
                <c:pt idx="4">
                  <c:v>7/15</c:v>
                </c:pt>
                <c:pt idx="5">
                  <c:v>TOTAL</c:v>
                </c:pt>
              </c:strCache>
            </c:strRef>
          </c:cat>
          <c:val>
            <c:numRef>
              <c:f>(Graphic!$V$7,Graphic!$X$7,Graphic!$Z$7,Graphic!$AB$7,Graphic!$AD$7,Graphic!$AF$7,Graphic!$AH$7)</c:f>
              <c:numCache>
                <c:formatCode>0.00%</c:formatCode>
                <c:ptCount val="6"/>
                <c:pt idx="0">
                  <c:v>4.815409309791332E-3</c:v>
                </c:pt>
                <c:pt idx="1">
                  <c:v>9.126466753585397E-3</c:v>
                </c:pt>
                <c:pt idx="2">
                  <c:v>1.4603174603174604E-2</c:v>
                </c:pt>
                <c:pt idx="3">
                  <c:v>1.2345679012345678E-2</c:v>
                </c:pt>
                <c:pt idx="4">
                  <c:v>0</c:v>
                </c:pt>
                <c:pt idx="5">
                  <c:v>1.1369788846778559E-2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3D-49DE-B7F0-9CA80304E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86882560"/>
        <c:axId val="86888832"/>
        <c:axId val="0"/>
      </c:bar3DChart>
      <c:catAx>
        <c:axId val="8688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6888832"/>
        <c:crosses val="autoZero"/>
        <c:auto val="1"/>
        <c:lblAlgn val="ctr"/>
        <c:lblOffset val="100"/>
        <c:noMultiLvlLbl val="0"/>
      </c:catAx>
      <c:valAx>
        <c:axId val="8688883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8688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Graphic!$AK$5</c:f>
              <c:strCache>
                <c:ptCount val="1"/>
                <c:pt idx="0">
                  <c:v>A-Grade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(Graphic!$AL$3,Graphic!$AN$3,Graphic!$AP$3,Graphic!$AR$3,Graphic!$AT$3,Graphic!$AV$3,Graphic!$AX$3)</c:f>
              <c:strCache>
                <c:ptCount val="6"/>
                <c:pt idx="0">
                  <c:v>7/18</c:v>
                </c:pt>
                <c:pt idx="1">
                  <c:v>7/19</c:v>
                </c:pt>
                <c:pt idx="2">
                  <c:v>7/20</c:v>
                </c:pt>
                <c:pt idx="3">
                  <c:v>7/21</c:v>
                </c:pt>
                <c:pt idx="4">
                  <c:v>7/22</c:v>
                </c:pt>
                <c:pt idx="5">
                  <c:v>TOTAL</c:v>
                </c:pt>
              </c:strCache>
            </c:strRef>
          </c:cat>
          <c:val>
            <c:numRef>
              <c:f>(Graphic!$AM$5,Graphic!$AO$5,Graphic!$AQ$5,Graphic!$AS$5,Graphic!$AU$5,Graphic!$AW$5,Graphic!$AY$5)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42-49ED-A13D-331215F23634}"/>
            </c:ext>
          </c:extLst>
        </c:ser>
        <c:ser>
          <c:idx val="1"/>
          <c:order val="1"/>
          <c:tx>
            <c:strRef>
              <c:f>Graphic!$AK$6</c:f>
              <c:strCache>
                <c:ptCount val="1"/>
                <c:pt idx="0">
                  <c:v>B-Grade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(Graphic!$AL$3,Graphic!$AN$3,Graphic!$AP$3,Graphic!$AR$3,Graphic!$AT$3,Graphic!$AV$3,Graphic!$AX$3)</c:f>
              <c:strCache>
                <c:ptCount val="6"/>
                <c:pt idx="0">
                  <c:v>7/18</c:v>
                </c:pt>
                <c:pt idx="1">
                  <c:v>7/19</c:v>
                </c:pt>
                <c:pt idx="2">
                  <c:v>7/20</c:v>
                </c:pt>
                <c:pt idx="3">
                  <c:v>7/21</c:v>
                </c:pt>
                <c:pt idx="4">
                  <c:v>7/22</c:v>
                </c:pt>
                <c:pt idx="5">
                  <c:v>TOTAL</c:v>
                </c:pt>
              </c:strCache>
            </c:strRef>
          </c:cat>
          <c:val>
            <c:numRef>
              <c:f>(Graphic!$AM$6,Graphic!$AO$6,Graphic!$AQ$6,Graphic!$AS$6,Graphic!$AU$6,Graphic!$AW$6,Graphic!$AY$6)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42-49ED-A13D-331215F23634}"/>
            </c:ext>
          </c:extLst>
        </c:ser>
        <c:ser>
          <c:idx val="2"/>
          <c:order val="2"/>
          <c:tx>
            <c:strRef>
              <c:f>Graphic!$AK$7</c:f>
              <c:strCache>
                <c:ptCount val="1"/>
                <c:pt idx="0">
                  <c:v>C-Grade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(Graphic!$AL$3,Graphic!$AN$3,Graphic!$AP$3,Graphic!$AR$3,Graphic!$AT$3,Graphic!$AV$3,Graphic!$AX$3)</c:f>
              <c:strCache>
                <c:ptCount val="6"/>
                <c:pt idx="0">
                  <c:v>7/18</c:v>
                </c:pt>
                <c:pt idx="1">
                  <c:v>7/19</c:v>
                </c:pt>
                <c:pt idx="2">
                  <c:v>7/20</c:v>
                </c:pt>
                <c:pt idx="3">
                  <c:v>7/21</c:v>
                </c:pt>
                <c:pt idx="4">
                  <c:v>7/22</c:v>
                </c:pt>
                <c:pt idx="5">
                  <c:v>TOTAL</c:v>
                </c:pt>
              </c:strCache>
            </c:strRef>
          </c:cat>
          <c:val>
            <c:numRef>
              <c:f>(Graphic!$AM$7,Graphic!$AO$7,Graphic!$AQ$7,Graphic!$AS$7,Graphic!$AU$7,Graphic!$AW$7,Graphic!$AY$7)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42-49ED-A13D-331215F236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box"/>
        <c:axId val="33782400"/>
        <c:axId val="33788288"/>
        <c:axId val="0"/>
      </c:bar3DChart>
      <c:catAx>
        <c:axId val="3378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788288"/>
        <c:crosses val="autoZero"/>
        <c:auto val="1"/>
        <c:lblAlgn val="ctr"/>
        <c:lblOffset val="100"/>
        <c:noMultiLvlLbl val="0"/>
      </c:catAx>
      <c:valAx>
        <c:axId val="3378828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78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Graphic!$BB$5</c:f>
              <c:strCache>
                <c:ptCount val="1"/>
                <c:pt idx="0">
                  <c:v>A-Grade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(Graphic!$BC$3,Graphic!$BE$3,Graphic!$BG$3,Graphic!$BI$3,Graphic!$BK$3,Graphic!$BM$3,Graphic!$BO$3)</c:f>
              <c:strCache>
                <c:ptCount val="6"/>
                <c:pt idx="0">
                  <c:v>7/25</c:v>
                </c:pt>
                <c:pt idx="1">
                  <c:v>7/26</c:v>
                </c:pt>
                <c:pt idx="2">
                  <c:v>7/27</c:v>
                </c:pt>
                <c:pt idx="3">
                  <c:v>7/28</c:v>
                </c:pt>
                <c:pt idx="4">
                  <c:v>7/29</c:v>
                </c:pt>
                <c:pt idx="5">
                  <c:v>TOTAL</c:v>
                </c:pt>
              </c:strCache>
            </c:strRef>
          </c:cat>
          <c:val>
            <c:numRef>
              <c:f>(Graphic!$BD$5,Graphic!$BF$5,Graphic!$BH$5,Graphic!$BJ$5,Graphic!$BL$5,Graphic!$BN$5,Graphic!$BP$5)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0-459A-B621-2420C6D6715D}"/>
            </c:ext>
          </c:extLst>
        </c:ser>
        <c:ser>
          <c:idx val="1"/>
          <c:order val="1"/>
          <c:tx>
            <c:strRef>
              <c:f>Graphic!$BB$6</c:f>
              <c:strCache>
                <c:ptCount val="1"/>
                <c:pt idx="0">
                  <c:v>B-Grade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(Graphic!$BC$3,Graphic!$BE$3,Graphic!$BG$3,Graphic!$BI$3,Graphic!$BK$3,Graphic!$BM$3,Graphic!$BO$3)</c:f>
              <c:strCache>
                <c:ptCount val="6"/>
                <c:pt idx="0">
                  <c:v>7/25</c:v>
                </c:pt>
                <c:pt idx="1">
                  <c:v>7/26</c:v>
                </c:pt>
                <c:pt idx="2">
                  <c:v>7/27</c:v>
                </c:pt>
                <c:pt idx="3">
                  <c:v>7/28</c:v>
                </c:pt>
                <c:pt idx="4">
                  <c:v>7/29</c:v>
                </c:pt>
                <c:pt idx="5">
                  <c:v>TOTAL</c:v>
                </c:pt>
              </c:strCache>
            </c:strRef>
          </c:cat>
          <c:val>
            <c:numRef>
              <c:f>(Graphic!$BD$6,Graphic!$BF$6,Graphic!$BH$6,Graphic!$BJ$6,Graphic!$BL$6,Graphic!$BN$6,Graphic!$BP$6)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">
                  <c:v>0</c:v>
                </c:pt>
                <c:pt idx="4">
                  <c:v>0</c:v>
                </c:pt>
                <c:pt idx="5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C0-459A-B621-2420C6D6715D}"/>
            </c:ext>
          </c:extLst>
        </c:ser>
        <c:ser>
          <c:idx val="2"/>
          <c:order val="2"/>
          <c:tx>
            <c:strRef>
              <c:f>Graphic!$BB$7</c:f>
              <c:strCache>
                <c:ptCount val="1"/>
                <c:pt idx="0">
                  <c:v>C-Grade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(Graphic!$BC$3,Graphic!$BE$3,Graphic!$BG$3,Graphic!$BI$3,Graphic!$BK$3,Graphic!$BM$3,Graphic!$BO$3)</c:f>
              <c:strCache>
                <c:ptCount val="6"/>
                <c:pt idx="0">
                  <c:v>7/25</c:v>
                </c:pt>
                <c:pt idx="1">
                  <c:v>7/26</c:v>
                </c:pt>
                <c:pt idx="2">
                  <c:v>7/27</c:v>
                </c:pt>
                <c:pt idx="3">
                  <c:v>7/28</c:v>
                </c:pt>
                <c:pt idx="4">
                  <c:v>7/29</c:v>
                </c:pt>
                <c:pt idx="5">
                  <c:v>TOTAL</c:v>
                </c:pt>
              </c:strCache>
            </c:strRef>
          </c:cat>
          <c:val>
            <c:numRef>
              <c:f>(Graphic!$BD$7,Graphic!$BF$7,Graphic!$BH$7,Graphic!$BJ$7,Graphic!$BL$7,Graphic!$BN$7,Graphic!$BP$7)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">
                  <c:v>0</c:v>
                </c:pt>
                <c:pt idx="4">
                  <c:v>0</c:v>
                </c:pt>
                <c:pt idx="5" formatCode="0.00%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C0-459A-B621-2420C6D671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box"/>
        <c:axId val="34840960"/>
        <c:axId val="34842496"/>
        <c:axId val="0"/>
      </c:bar3DChart>
      <c:catAx>
        <c:axId val="3484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4842496"/>
        <c:crosses val="autoZero"/>
        <c:auto val="1"/>
        <c:lblAlgn val="ctr"/>
        <c:lblOffset val="100"/>
        <c:noMultiLvlLbl val="0"/>
      </c:catAx>
      <c:valAx>
        <c:axId val="3484249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484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Graphic!$BS$5</c:f>
              <c:strCache>
                <c:ptCount val="1"/>
                <c:pt idx="0">
                  <c:v>A-Grade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(Graphic!$BT$3,Graphic!$BV$3,Graphic!$BX$3,Graphic!$BZ$3,Graphic!$CB$3,Graphic!$CD$3,Graphic!$CF$3)</c:f>
              <c:strCache>
                <c:ptCount val="5"/>
                <c:pt idx="0">
                  <c:v>6/27</c:v>
                </c:pt>
                <c:pt idx="1">
                  <c:v>6/28</c:v>
                </c:pt>
                <c:pt idx="2">
                  <c:v>6/29</c:v>
                </c:pt>
                <c:pt idx="3">
                  <c:v>6/30</c:v>
                </c:pt>
                <c:pt idx="4">
                  <c:v>TOTAL</c:v>
                </c:pt>
              </c:strCache>
            </c:strRef>
          </c:cat>
          <c:val>
            <c:numRef>
              <c:f>(Graphic!$BU$5,Graphic!$BW$5,Graphic!$BY$5,Graphic!$CA$5,Graphic!$CC$5,Graphic!$CE$5,Graphic!$CG$5)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25-4DB4-83BF-FF78C5EF3B32}"/>
            </c:ext>
          </c:extLst>
        </c:ser>
        <c:ser>
          <c:idx val="1"/>
          <c:order val="1"/>
          <c:tx>
            <c:strRef>
              <c:f>Graphic!$BS$6</c:f>
              <c:strCache>
                <c:ptCount val="1"/>
                <c:pt idx="0">
                  <c:v>B-Grade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(Graphic!$BT$3,Graphic!$BV$3,Graphic!$BX$3,Graphic!$BZ$3,Graphic!$CB$3,Graphic!$CD$3,Graphic!$CF$3)</c:f>
              <c:strCache>
                <c:ptCount val="5"/>
                <c:pt idx="0">
                  <c:v>6/27</c:v>
                </c:pt>
                <c:pt idx="1">
                  <c:v>6/28</c:v>
                </c:pt>
                <c:pt idx="2">
                  <c:v>6/29</c:v>
                </c:pt>
                <c:pt idx="3">
                  <c:v>6/30</c:v>
                </c:pt>
                <c:pt idx="4">
                  <c:v>TOTAL</c:v>
                </c:pt>
              </c:strCache>
            </c:strRef>
          </c:cat>
          <c:val>
            <c:numRef>
              <c:f>(Graphic!$BU$6,Graphic!$BW$6,Graphic!$BY$6,Graphic!$CA$6,Graphic!$CC$6,Graphic!$CE$6,Graphic!$CG$6)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25-4DB4-83BF-FF78C5EF3B32}"/>
            </c:ext>
          </c:extLst>
        </c:ser>
        <c:ser>
          <c:idx val="2"/>
          <c:order val="2"/>
          <c:tx>
            <c:strRef>
              <c:f>Graphic!$BS$7</c:f>
              <c:strCache>
                <c:ptCount val="1"/>
                <c:pt idx="0">
                  <c:v>C-Grade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(Graphic!$BT$3,Graphic!$BV$3,Graphic!$BX$3,Graphic!$BZ$3,Graphic!$CB$3,Graphic!$CD$3,Graphic!$CF$3)</c:f>
              <c:strCache>
                <c:ptCount val="5"/>
                <c:pt idx="0">
                  <c:v>6/27</c:v>
                </c:pt>
                <c:pt idx="1">
                  <c:v>6/28</c:v>
                </c:pt>
                <c:pt idx="2">
                  <c:v>6/29</c:v>
                </c:pt>
                <c:pt idx="3">
                  <c:v>6/30</c:v>
                </c:pt>
                <c:pt idx="4">
                  <c:v>TOTAL</c:v>
                </c:pt>
              </c:strCache>
            </c:strRef>
          </c:cat>
          <c:val>
            <c:numRef>
              <c:f>(Graphic!$BU$7,Graphic!$BW$7,Graphic!$BY$7,Graphic!$CA$7,Graphic!$CC$7,Graphic!$CE$7,Graphic!$CG$7)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25-4DB4-83BF-FF78C5EF3B3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box"/>
        <c:axId val="35067776"/>
        <c:axId val="35069312"/>
        <c:axId val="0"/>
      </c:bar3DChart>
      <c:catAx>
        <c:axId val="3506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5069312"/>
        <c:crosses val="autoZero"/>
        <c:auto val="1"/>
        <c:lblAlgn val="ctr"/>
        <c:lblOffset val="100"/>
        <c:noMultiLvlLbl val="0"/>
      </c:catAx>
      <c:valAx>
        <c:axId val="3506931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506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Graphic!$C$29</c:f>
              <c:strCache>
                <c:ptCount val="1"/>
                <c:pt idx="0">
                  <c:v>A-Grade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(Graphic!$D$27,Graphic!$F$27,Graphic!$H$27,Graphic!$J$27,Graphic!$L$27,Graphic!$N$27)</c:f>
              <c:strCache>
                <c:ptCount val="5"/>
                <c:pt idx="0">
                  <c:v>1st Week</c:v>
                </c:pt>
                <c:pt idx="1">
                  <c:v>2nd Week</c:v>
                </c:pt>
                <c:pt idx="2">
                  <c:v>3rd Week</c:v>
                </c:pt>
                <c:pt idx="3">
                  <c:v>4th Week</c:v>
                </c:pt>
                <c:pt idx="4">
                  <c:v>5th week</c:v>
                </c:pt>
              </c:strCache>
            </c:strRef>
          </c:cat>
          <c:val>
            <c:numRef>
              <c:f>(Graphic!$E$29,Graphic!$G$29,Graphic!$I$29,Graphic!$K$29,Graphic!$M$29,Graphic!$O$29)</c:f>
              <c:numCache>
                <c:formatCode>0.00%</c:formatCode>
                <c:ptCount val="5"/>
                <c:pt idx="0">
                  <c:v>0.97671410090556277</c:v>
                </c:pt>
                <c:pt idx="1">
                  <c:v>0.98863021115322147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2-4A6D-8989-283F2C60B1EA}"/>
            </c:ext>
          </c:extLst>
        </c:ser>
        <c:ser>
          <c:idx val="1"/>
          <c:order val="1"/>
          <c:tx>
            <c:strRef>
              <c:f>Graphic!$C$30</c:f>
              <c:strCache>
                <c:ptCount val="1"/>
                <c:pt idx="0">
                  <c:v>B-Grade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(Graphic!$D$27,Graphic!$F$27,Graphic!$H$27,Graphic!$J$27,Graphic!$L$27,Graphic!$N$27)</c:f>
              <c:strCache>
                <c:ptCount val="5"/>
                <c:pt idx="0">
                  <c:v>1st Week</c:v>
                </c:pt>
                <c:pt idx="1">
                  <c:v>2nd Week</c:v>
                </c:pt>
                <c:pt idx="2">
                  <c:v>3rd Week</c:v>
                </c:pt>
                <c:pt idx="3">
                  <c:v>4th Week</c:v>
                </c:pt>
                <c:pt idx="4">
                  <c:v>5th week</c:v>
                </c:pt>
              </c:strCache>
            </c:strRef>
          </c:cat>
          <c:val>
            <c:numRef>
              <c:f>(Graphic!$E$30,Graphic!$G$30,Graphic!$I$30,Graphic!$K$30,Graphic!$M$30,Graphic!$O$30)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72-4A6D-8989-283F2C60B1EA}"/>
            </c:ext>
          </c:extLst>
        </c:ser>
        <c:ser>
          <c:idx val="2"/>
          <c:order val="2"/>
          <c:tx>
            <c:strRef>
              <c:f>Graphic!$C$31</c:f>
              <c:strCache>
                <c:ptCount val="1"/>
                <c:pt idx="0">
                  <c:v>C-Grade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(Graphic!$D$27,Graphic!$F$27,Graphic!$H$27,Graphic!$J$27,Graphic!$L$27,Graphic!$N$27)</c:f>
              <c:strCache>
                <c:ptCount val="5"/>
                <c:pt idx="0">
                  <c:v>1st Week</c:v>
                </c:pt>
                <c:pt idx="1">
                  <c:v>2nd Week</c:v>
                </c:pt>
                <c:pt idx="2">
                  <c:v>3rd Week</c:v>
                </c:pt>
                <c:pt idx="3">
                  <c:v>4th Week</c:v>
                </c:pt>
                <c:pt idx="4">
                  <c:v>5th week</c:v>
                </c:pt>
              </c:strCache>
            </c:strRef>
          </c:cat>
          <c:val>
            <c:numRef>
              <c:f>(Graphic!$E$31,Graphic!$G$31,Graphic!$I$31,Graphic!$K$31,Graphic!$M$31,Graphic!$O$31)</c:f>
              <c:numCache>
                <c:formatCode>0.00%</c:formatCode>
                <c:ptCount val="5"/>
                <c:pt idx="0">
                  <c:v>2.3285899094437259E-2</c:v>
                </c:pt>
                <c:pt idx="1">
                  <c:v>1.1369788846778559E-2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72-4A6D-8989-283F2C60B1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shape val="box"/>
        <c:axId val="35098624"/>
        <c:axId val="35100160"/>
        <c:axId val="0"/>
      </c:bar3DChart>
      <c:catAx>
        <c:axId val="3509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5100160"/>
        <c:crosses val="autoZero"/>
        <c:auto val="1"/>
        <c:lblAlgn val="ctr"/>
        <c:lblOffset val="100"/>
        <c:noMultiLvlLbl val="0"/>
      </c:catAx>
      <c:valAx>
        <c:axId val="3510016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509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DOD by Issue'!$C$36</c:f>
              <c:strCache>
                <c:ptCount val="1"/>
                <c:pt idx="0">
                  <c:v>Outlet</c:v>
                </c:pt>
              </c:strCache>
            </c:strRef>
          </c:tx>
          <c:invertIfNegative val="0"/>
          <c:val>
            <c:numRef>
              <c:f>'Summary DOD by Issue'!$D$36:$O$36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'Summary DOD by Issue'!$D$34:$O$35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232-4AB7-AA5E-F118CD548674}"/>
            </c:ext>
          </c:extLst>
        </c:ser>
        <c:ser>
          <c:idx val="1"/>
          <c:order val="1"/>
          <c:tx>
            <c:strRef>
              <c:f>'Summary DOD by Issue'!$C$37</c:f>
              <c:strCache>
                <c:ptCount val="1"/>
                <c:pt idx="0">
                  <c:v>Donasi</c:v>
                </c:pt>
              </c:strCache>
            </c:strRef>
          </c:tx>
          <c:invertIfNegative val="0"/>
          <c:val>
            <c:numRef>
              <c:f>'Summary DOD by Issue'!$D$37:$O$37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'Summary DOD by Issue'!$D$34:$O$35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232-4AB7-AA5E-F118CD548674}"/>
            </c:ext>
          </c:extLst>
        </c:ser>
        <c:ser>
          <c:idx val="2"/>
          <c:order val="2"/>
          <c:tx>
            <c:strRef>
              <c:f>'Summary DOD by Issue'!$C$38</c:f>
              <c:strCache>
                <c:ptCount val="1"/>
                <c:pt idx="0">
                  <c:v>Destroy</c:v>
                </c:pt>
              </c:strCache>
            </c:strRef>
          </c:tx>
          <c:invertIfNegative val="0"/>
          <c:val>
            <c:numRef>
              <c:f>'Summary DOD by Issue'!$D$38:$O$38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'Summary DOD by Issue'!$D$34:$O$35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232-4AB7-AA5E-F118CD548674}"/>
            </c:ext>
          </c:extLst>
        </c:ser>
        <c:ser>
          <c:idx val="3"/>
          <c:order val="3"/>
          <c:tx>
            <c:strRef>
              <c:f>'Summary DOD by Issue'!$C$39</c:f>
              <c:strCache>
                <c:ptCount val="1"/>
                <c:pt idx="0">
                  <c:v>A-Grade</c:v>
                </c:pt>
              </c:strCache>
            </c:strRef>
          </c:tx>
          <c:invertIfNegative val="0"/>
          <c:val>
            <c:numRef>
              <c:f>'Summary DOD by Issue'!$D$39:$O$39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'Summary DOD by Issue'!$D$34:$O$35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7232-4AB7-AA5E-F118CD548674}"/>
            </c:ext>
          </c:extLst>
        </c:ser>
        <c:ser>
          <c:idx val="4"/>
          <c:order val="4"/>
          <c:tx>
            <c:strRef>
              <c:f>'Summary DOD by Issue'!$C$40</c:f>
              <c:strCache>
                <c:ptCount val="1"/>
                <c:pt idx="0">
                  <c:v>Total Production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'Summary DOD by Issue'!$D$40:$O$40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'Summary DOD by Issue'!$D$34:$O$35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7232-4AB7-AA5E-F118CD548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36046336"/>
        <c:axId val="36047872"/>
      </c:barChart>
      <c:catAx>
        <c:axId val="360463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6047872"/>
        <c:crosses val="autoZero"/>
        <c:auto val="1"/>
        <c:lblAlgn val="ctr"/>
        <c:lblOffset val="100"/>
        <c:noMultiLvlLbl val="0"/>
      </c:catAx>
      <c:valAx>
        <c:axId val="36047872"/>
        <c:scaling>
          <c:orientation val="minMax"/>
        </c:scaling>
        <c:delete val="0"/>
        <c:axPos val="l"/>
        <c:majorGridlines/>
        <c:numFmt formatCode="0.0" sourceLinked="1"/>
        <c:majorTickMark val="none"/>
        <c:minorTickMark val="none"/>
        <c:tickLblPos val="nextTo"/>
        <c:crossAx val="36046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8</xdr:row>
      <xdr:rowOff>119062</xdr:rowOff>
    </xdr:from>
    <xdr:to>
      <xdr:col>16</xdr:col>
      <xdr:colOff>533400</xdr:colOff>
      <xdr:row>23</xdr:row>
      <xdr:rowOff>347382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58831</xdr:colOff>
      <xdr:row>8</xdr:row>
      <xdr:rowOff>85444</xdr:rowOff>
    </xdr:from>
    <xdr:to>
      <xdr:col>33</xdr:col>
      <xdr:colOff>526676</xdr:colOff>
      <xdr:row>23</xdr:row>
      <xdr:rowOff>324970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47625</xdr:colOff>
      <xdr:row>8</xdr:row>
      <xdr:rowOff>119062</xdr:rowOff>
    </xdr:from>
    <xdr:to>
      <xdr:col>50</xdr:col>
      <xdr:colOff>549088</xdr:colOff>
      <xdr:row>23</xdr:row>
      <xdr:rowOff>347382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53</xdr:col>
      <xdr:colOff>47625</xdr:colOff>
      <xdr:row>8</xdr:row>
      <xdr:rowOff>119062</xdr:rowOff>
    </xdr:from>
    <xdr:to>
      <xdr:col>67</xdr:col>
      <xdr:colOff>526676</xdr:colOff>
      <xdr:row>23</xdr:row>
      <xdr:rowOff>347382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70</xdr:col>
      <xdr:colOff>47625</xdr:colOff>
      <xdr:row>8</xdr:row>
      <xdr:rowOff>119062</xdr:rowOff>
    </xdr:from>
    <xdr:to>
      <xdr:col>84</xdr:col>
      <xdr:colOff>504265</xdr:colOff>
      <xdr:row>23</xdr:row>
      <xdr:rowOff>324970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47625</xdr:colOff>
      <xdr:row>32</xdr:row>
      <xdr:rowOff>119063</xdr:rowOff>
    </xdr:from>
    <xdr:to>
      <xdr:col>14</xdr:col>
      <xdr:colOff>502227</xdr:colOff>
      <xdr:row>47</xdr:row>
      <xdr:rowOff>134471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517585</xdr:colOff>
      <xdr:row>42</xdr:row>
      <xdr:rowOff>80872</xdr:rowOff>
    </xdr:from>
    <xdr:to>
      <xdr:col>13</xdr:col>
      <xdr:colOff>269576</xdr:colOff>
      <xdr:row>56</xdr:row>
      <xdr:rowOff>180973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rgb="FFFF66FF"/>
  </sheetPr>
  <dimension ref="B3:CG48"/>
  <sheetViews>
    <sheetView showGridLines="0" topLeftCell="J1" zoomScale="85" zoomScaleNormal="85" workbookViewId="0">
      <selection activeCell="AZ8" sqref="AZ8"/>
    </sheetView>
  </sheetViews>
  <sheetFormatPr defaultColWidth="9.1796875" defaultRowHeight="14.5"/>
  <cols>
    <col min="1" max="1" width="2.1796875" style="326" customWidth="1"/>
    <col min="2" max="2" width="9.1796875" style="326"/>
    <col min="3" max="3" width="13.453125" style="332" customWidth="1"/>
    <col min="4" max="4" width="9.1796875" style="326" customWidth="1"/>
    <col min="5" max="5" width="11.1796875" style="326" customWidth="1"/>
    <col min="6" max="6" width="9.1796875" style="326" customWidth="1"/>
    <col min="7" max="13" width="9.7265625" style="326" customWidth="1"/>
    <col min="14" max="14" width="11" style="326" hidden="1" customWidth="1"/>
    <col min="15" max="15" width="9.7265625" style="326" hidden="1" customWidth="1"/>
    <col min="16" max="16" width="9.1796875" style="326"/>
    <col min="17" max="17" width="12.1796875" style="326" customWidth="1"/>
    <col min="18" max="18" width="1.81640625" style="326" customWidth="1"/>
    <col min="19" max="19" width="9.1796875" style="326"/>
    <col min="20" max="20" width="18.1796875" style="326" customWidth="1"/>
    <col min="21" max="21" width="9.1796875" style="326"/>
    <col min="22" max="22" width="9.7265625" style="326" bestFit="1" customWidth="1"/>
    <col min="23" max="23" width="9.1796875" style="326"/>
    <col min="24" max="24" width="9.7265625" style="326" bestFit="1" customWidth="1"/>
    <col min="25" max="25" width="9.1796875" style="326"/>
    <col min="26" max="26" width="10" style="326" bestFit="1" customWidth="1"/>
    <col min="27" max="27" width="9.1796875" style="326"/>
    <col min="28" max="28" width="9.7265625" style="326" bestFit="1" customWidth="1"/>
    <col min="29" max="29" width="9.1796875" style="326"/>
    <col min="30" max="30" width="10.54296875" style="326" customWidth="1"/>
    <col min="31" max="31" width="7.26953125" style="326" hidden="1" customWidth="1"/>
    <col min="32" max="32" width="9.7265625" style="326" hidden="1" customWidth="1"/>
    <col min="33" max="33" width="10.26953125" style="326" customWidth="1"/>
    <col min="34" max="34" width="10.453125" style="326" customWidth="1"/>
    <col min="35" max="35" width="1.81640625" style="326" customWidth="1"/>
    <col min="36" max="36" width="9.1796875" style="326"/>
    <col min="37" max="37" width="18.1796875" style="326" customWidth="1"/>
    <col min="38" max="38" width="9.1796875" style="326"/>
    <col min="39" max="39" width="9.7265625" style="326" bestFit="1" customWidth="1"/>
    <col min="40" max="40" width="9.1796875" style="326"/>
    <col min="41" max="41" width="9.7265625" style="326" bestFit="1" customWidth="1"/>
    <col min="42" max="42" width="9.1796875" style="326"/>
    <col min="43" max="43" width="9.7265625" style="326" bestFit="1" customWidth="1"/>
    <col min="44" max="44" width="9.1796875" style="326"/>
    <col min="45" max="45" width="9.7265625" style="326" bestFit="1" customWidth="1"/>
    <col min="46" max="46" width="9.1796875" style="326"/>
    <col min="47" max="47" width="9.54296875" style="326" customWidth="1"/>
    <col min="48" max="48" width="7.81640625" style="326" hidden="1" customWidth="1"/>
    <col min="49" max="49" width="8.7265625" style="326" hidden="1" customWidth="1"/>
    <col min="50" max="50" width="9.453125" style="326" customWidth="1"/>
    <col min="51" max="51" width="10.54296875" style="326" bestFit="1" customWidth="1"/>
    <col min="52" max="52" width="1.81640625" style="326" customWidth="1"/>
    <col min="53" max="53" width="9.1796875" style="326"/>
    <col min="54" max="54" width="18.1796875" style="326" customWidth="1"/>
    <col min="55" max="55" width="9.1796875" style="326"/>
    <col min="56" max="56" width="9.7265625" style="326" bestFit="1" customWidth="1"/>
    <col min="57" max="57" width="8.26953125" style="326" customWidth="1"/>
    <col min="58" max="58" width="9.7265625" style="326" bestFit="1" customWidth="1"/>
    <col min="59" max="59" width="9.1796875" style="326"/>
    <col min="60" max="60" width="9.7265625" style="326" bestFit="1" customWidth="1"/>
    <col min="61" max="61" width="9.1796875" style="326"/>
    <col min="62" max="63" width="9.1796875" style="326" customWidth="1"/>
    <col min="64" max="64" width="9.54296875" style="326" customWidth="1"/>
    <col min="65" max="66" width="9.7265625" style="326" hidden="1" customWidth="1"/>
    <col min="67" max="67" width="8.81640625" style="326" bestFit="1" customWidth="1"/>
    <col min="68" max="68" width="10.54296875" style="326" bestFit="1" customWidth="1"/>
    <col min="69" max="69" width="5.26953125" style="326" customWidth="1"/>
    <col min="70" max="70" width="7.54296875" style="326" customWidth="1"/>
    <col min="71" max="71" width="11.26953125" style="326" customWidth="1"/>
    <col min="72" max="72" width="8.54296875" style="326" customWidth="1"/>
    <col min="73" max="74" width="6.81640625" style="326" customWidth="1"/>
    <col min="75" max="75" width="7.7265625" style="326" customWidth="1"/>
    <col min="76" max="76" width="6.81640625" style="326" customWidth="1"/>
    <col min="77" max="77" width="9.453125" style="326" customWidth="1"/>
    <col min="78" max="78" width="6.81640625" style="326" customWidth="1"/>
    <col min="79" max="79" width="9.7265625" style="326" customWidth="1"/>
    <col min="80" max="80" width="6.81640625" style="326" hidden="1" customWidth="1"/>
    <col min="81" max="81" width="9.81640625" style="326" hidden="1" customWidth="1"/>
    <col min="82" max="82" width="6.81640625" style="326" hidden="1" customWidth="1"/>
    <col min="83" max="83" width="9.81640625" style="326" hidden="1" customWidth="1"/>
    <col min="84" max="84" width="9.81640625" style="326" customWidth="1"/>
    <col min="85" max="87" width="6.81640625" style="326" customWidth="1"/>
    <col min="88" max="16384" width="9.1796875" style="326"/>
  </cols>
  <sheetData>
    <row r="3" spans="2:85" ht="22.5" customHeight="1">
      <c r="B3" s="535" t="s">
        <v>96</v>
      </c>
      <c r="C3" s="522"/>
      <c r="D3" s="514">
        <f>'ABC GRADE'!D4</f>
        <v>44743</v>
      </c>
      <c r="E3" s="515"/>
      <c r="F3" s="514">
        <f>'ABC GRADE'!E4</f>
        <v>44746</v>
      </c>
      <c r="G3" s="515"/>
      <c r="H3" s="514"/>
      <c r="I3" s="515"/>
      <c r="J3" s="514"/>
      <c r="K3" s="515"/>
      <c r="L3" s="514"/>
      <c r="M3" s="515"/>
      <c r="N3" s="514">
        <f>L3+1</f>
        <v>1</v>
      </c>
      <c r="O3" s="515"/>
      <c r="P3" s="516" t="s">
        <v>6</v>
      </c>
      <c r="Q3" s="517"/>
      <c r="S3" s="535" t="s">
        <v>102</v>
      </c>
      <c r="T3" s="522"/>
      <c r="U3" s="514">
        <f>'ABC GRADE'!M4</f>
        <v>44388</v>
      </c>
      <c r="V3" s="515"/>
      <c r="W3" s="514">
        <f>U3+1</f>
        <v>44389</v>
      </c>
      <c r="X3" s="515"/>
      <c r="Y3" s="514">
        <f>W3+1</f>
        <v>44390</v>
      </c>
      <c r="Z3" s="515"/>
      <c r="AA3" s="514">
        <f>Y3+1</f>
        <v>44391</v>
      </c>
      <c r="AB3" s="515"/>
      <c r="AC3" s="514">
        <f>AA3+1</f>
        <v>44392</v>
      </c>
      <c r="AD3" s="515"/>
      <c r="AE3" s="514">
        <f>AC3+1</f>
        <v>44393</v>
      </c>
      <c r="AF3" s="515"/>
      <c r="AG3" s="516" t="s">
        <v>6</v>
      </c>
      <c r="AH3" s="517"/>
      <c r="AJ3" s="535" t="s">
        <v>103</v>
      </c>
      <c r="AK3" s="522"/>
      <c r="AL3" s="514">
        <f>'ABC GRADE'!U4</f>
        <v>44760</v>
      </c>
      <c r="AM3" s="515"/>
      <c r="AN3" s="514">
        <f>AL3+1</f>
        <v>44761</v>
      </c>
      <c r="AO3" s="515"/>
      <c r="AP3" s="514">
        <f>AN3+1</f>
        <v>44762</v>
      </c>
      <c r="AQ3" s="515"/>
      <c r="AR3" s="514">
        <f>AP3+1</f>
        <v>44763</v>
      </c>
      <c r="AS3" s="515"/>
      <c r="AT3" s="514">
        <f>AR3+1</f>
        <v>44764</v>
      </c>
      <c r="AU3" s="515"/>
      <c r="AV3" s="514">
        <f>AT3+1</f>
        <v>44765</v>
      </c>
      <c r="AW3" s="515"/>
      <c r="AX3" s="516" t="s">
        <v>6</v>
      </c>
      <c r="AY3" s="517"/>
      <c r="BA3" s="535" t="s">
        <v>104</v>
      </c>
      <c r="BB3" s="522"/>
      <c r="BC3" s="514">
        <f>'ABC GRADE'!AC4</f>
        <v>44402</v>
      </c>
      <c r="BD3" s="515"/>
      <c r="BE3" s="514">
        <f>BC3+1</f>
        <v>44403</v>
      </c>
      <c r="BF3" s="515"/>
      <c r="BG3" s="514">
        <f>BE3+1</f>
        <v>44404</v>
      </c>
      <c r="BH3" s="515"/>
      <c r="BI3" s="514">
        <f>BG3+1</f>
        <v>44405</v>
      </c>
      <c r="BJ3" s="515"/>
      <c r="BK3" s="514">
        <f>BI3+1</f>
        <v>44406</v>
      </c>
      <c r="BL3" s="515"/>
      <c r="BM3" s="514">
        <f>BK3+1</f>
        <v>44407</v>
      </c>
      <c r="BN3" s="515"/>
      <c r="BO3" s="516" t="s">
        <v>6</v>
      </c>
      <c r="BP3" s="517"/>
      <c r="BR3" s="535" t="s">
        <v>105</v>
      </c>
      <c r="BS3" s="522"/>
      <c r="BT3" s="514">
        <f>'ABC GRADE'!AK4</f>
        <v>44009</v>
      </c>
      <c r="BU3" s="515"/>
      <c r="BV3" s="514">
        <f>BT3+1</f>
        <v>44010</v>
      </c>
      <c r="BW3" s="515"/>
      <c r="BX3" s="514">
        <f>BV3+1</f>
        <v>44011</v>
      </c>
      <c r="BY3" s="515"/>
      <c r="BZ3" s="514">
        <f>BX3+1</f>
        <v>44012</v>
      </c>
      <c r="CA3" s="515"/>
      <c r="CB3" s="514">
        <f>BZ3+1</f>
        <v>44013</v>
      </c>
      <c r="CC3" s="515"/>
      <c r="CD3" s="514">
        <f>CB3+1</f>
        <v>44014</v>
      </c>
      <c r="CE3" s="515"/>
      <c r="CF3" s="516" t="s">
        <v>6</v>
      </c>
      <c r="CG3" s="517"/>
    </row>
    <row r="4" spans="2:85" ht="22.5" customHeight="1">
      <c r="B4" s="535"/>
      <c r="C4" s="522"/>
      <c r="D4" s="319" t="s">
        <v>97</v>
      </c>
      <c r="E4" s="319" t="s">
        <v>98</v>
      </c>
      <c r="F4" s="319" t="s">
        <v>97</v>
      </c>
      <c r="G4" s="319" t="s">
        <v>98</v>
      </c>
      <c r="H4" s="319" t="s">
        <v>97</v>
      </c>
      <c r="I4" s="319" t="s">
        <v>98</v>
      </c>
      <c r="J4" s="319" t="s">
        <v>97</v>
      </c>
      <c r="K4" s="319" t="s">
        <v>98</v>
      </c>
      <c r="L4" s="319" t="s">
        <v>97</v>
      </c>
      <c r="M4" s="319" t="s">
        <v>98</v>
      </c>
      <c r="N4" s="319" t="s">
        <v>97</v>
      </c>
      <c r="O4" s="319" t="s">
        <v>98</v>
      </c>
      <c r="P4" s="319" t="s">
        <v>97</v>
      </c>
      <c r="Q4" s="319" t="s">
        <v>98</v>
      </c>
      <c r="S4" s="535"/>
      <c r="T4" s="522"/>
      <c r="U4" s="319" t="s">
        <v>97</v>
      </c>
      <c r="V4" s="319" t="s">
        <v>98</v>
      </c>
      <c r="W4" s="319" t="s">
        <v>97</v>
      </c>
      <c r="X4" s="319" t="s">
        <v>98</v>
      </c>
      <c r="Y4" s="319" t="s">
        <v>97</v>
      </c>
      <c r="Z4" s="319" t="s">
        <v>98</v>
      </c>
      <c r="AA4" s="319" t="s">
        <v>97</v>
      </c>
      <c r="AB4" s="319" t="s">
        <v>98</v>
      </c>
      <c r="AC4" s="319" t="s">
        <v>97</v>
      </c>
      <c r="AD4" s="319" t="s">
        <v>98</v>
      </c>
      <c r="AE4" s="319" t="s">
        <v>97</v>
      </c>
      <c r="AF4" s="319" t="s">
        <v>98</v>
      </c>
      <c r="AG4" s="319" t="s">
        <v>97</v>
      </c>
      <c r="AH4" s="319" t="s">
        <v>98</v>
      </c>
      <c r="AJ4" s="535"/>
      <c r="AK4" s="522"/>
      <c r="AL4" s="319" t="s">
        <v>97</v>
      </c>
      <c r="AM4" s="319" t="s">
        <v>98</v>
      </c>
      <c r="AN4" s="319" t="s">
        <v>97</v>
      </c>
      <c r="AO4" s="319" t="s">
        <v>98</v>
      </c>
      <c r="AP4" s="319" t="s">
        <v>97</v>
      </c>
      <c r="AQ4" s="319" t="s">
        <v>98</v>
      </c>
      <c r="AR4" s="319" t="s">
        <v>97</v>
      </c>
      <c r="AS4" s="319" t="s">
        <v>98</v>
      </c>
      <c r="AT4" s="319" t="s">
        <v>97</v>
      </c>
      <c r="AU4" s="319" t="s">
        <v>98</v>
      </c>
      <c r="AV4" s="319" t="s">
        <v>97</v>
      </c>
      <c r="AW4" s="319" t="s">
        <v>98</v>
      </c>
      <c r="AX4" s="319" t="s">
        <v>97</v>
      </c>
      <c r="AY4" s="319" t="s">
        <v>98</v>
      </c>
      <c r="BA4" s="535"/>
      <c r="BB4" s="522"/>
      <c r="BC4" s="319" t="s">
        <v>97</v>
      </c>
      <c r="BD4" s="319" t="s">
        <v>98</v>
      </c>
      <c r="BE4" s="319" t="s">
        <v>97</v>
      </c>
      <c r="BF4" s="319" t="s">
        <v>98</v>
      </c>
      <c r="BG4" s="319" t="s">
        <v>97</v>
      </c>
      <c r="BH4" s="319" t="s">
        <v>98</v>
      </c>
      <c r="BI4" s="319" t="s">
        <v>97</v>
      </c>
      <c r="BJ4" s="319" t="s">
        <v>98</v>
      </c>
      <c r="BK4" s="319" t="s">
        <v>97</v>
      </c>
      <c r="BL4" s="319" t="s">
        <v>98</v>
      </c>
      <c r="BM4" s="319" t="s">
        <v>97</v>
      </c>
      <c r="BN4" s="319" t="s">
        <v>98</v>
      </c>
      <c r="BO4" s="319" t="s">
        <v>97</v>
      </c>
      <c r="BP4" s="319" t="s">
        <v>98</v>
      </c>
      <c r="BR4" s="535"/>
      <c r="BS4" s="522"/>
      <c r="BT4" s="319" t="s">
        <v>97</v>
      </c>
      <c r="BU4" s="319" t="s">
        <v>98</v>
      </c>
      <c r="BV4" s="319" t="s">
        <v>97</v>
      </c>
      <c r="BW4" s="319" t="s">
        <v>98</v>
      </c>
      <c r="BX4" s="319" t="s">
        <v>97</v>
      </c>
      <c r="BY4" s="319" t="s">
        <v>98</v>
      </c>
      <c r="BZ4" s="319" t="s">
        <v>97</v>
      </c>
      <c r="CA4" s="319" t="s">
        <v>98</v>
      </c>
      <c r="CB4" s="319" t="s">
        <v>97</v>
      </c>
      <c r="CC4" s="319" t="s">
        <v>98</v>
      </c>
      <c r="CD4" s="319" t="s">
        <v>97</v>
      </c>
      <c r="CE4" s="319" t="s">
        <v>98</v>
      </c>
      <c r="CF4" s="319" t="s">
        <v>97</v>
      </c>
      <c r="CG4" s="319" t="s">
        <v>98</v>
      </c>
    </row>
    <row r="5" spans="2:85" ht="31.5" customHeight="1">
      <c r="B5" s="535"/>
      <c r="C5" s="320" t="s">
        <v>11</v>
      </c>
      <c r="D5" s="321">
        <f>'ABC GRADE'!D20</f>
        <v>0</v>
      </c>
      <c r="E5" s="337">
        <f>D5/D8</f>
        <v>0</v>
      </c>
      <c r="F5" s="321">
        <f>'ABC GRADE'!E20</f>
        <v>90</v>
      </c>
      <c r="G5" s="322">
        <f>F5/F8</f>
        <v>0.97826086956521741</v>
      </c>
      <c r="H5" s="321">
        <f>'ABC GRADE'!F20</f>
        <v>290</v>
      </c>
      <c r="I5" s="322">
        <f>H5/H8</f>
        <v>0.93548387096774188</v>
      </c>
      <c r="J5" s="321">
        <f>'ABC GRADE'!G20</f>
        <v>460</v>
      </c>
      <c r="K5" s="322">
        <f>J5/J8</f>
        <v>0.99459459459459465</v>
      </c>
      <c r="L5" s="321">
        <f>'ABC GRADE'!H20</f>
        <v>330</v>
      </c>
      <c r="M5" s="322">
        <f>L5/L8</f>
        <v>0.9821428571428571</v>
      </c>
      <c r="N5" s="321">
        <f>'ABC GRADE'!I20</f>
        <v>340</v>
      </c>
      <c r="O5" s="322">
        <f>N5/N8</f>
        <v>0.98550724637681164</v>
      </c>
      <c r="P5" s="323">
        <f>+D5+F5+H5+J5+L5+N5</f>
        <v>1510</v>
      </c>
      <c r="Q5" s="324">
        <f>P5/P8</f>
        <v>0.97671410090556277</v>
      </c>
      <c r="S5" s="535"/>
      <c r="T5" s="320" t="s">
        <v>11</v>
      </c>
      <c r="U5" s="321">
        <f>'ABC GRADE'!M20</f>
        <v>310</v>
      </c>
      <c r="V5" s="322">
        <f>U5/U8</f>
        <v>0.9951845906902087</v>
      </c>
      <c r="W5" s="321">
        <f>'ABC GRADE'!N20</f>
        <v>380</v>
      </c>
      <c r="X5" s="322">
        <f>W5/W8</f>
        <v>0.99087353324641458</v>
      </c>
      <c r="Y5" s="321">
        <f>'ABC GRADE'!O20</f>
        <v>776</v>
      </c>
      <c r="Z5" s="322">
        <f>Y5/Y8</f>
        <v>0.98539682539682538</v>
      </c>
      <c r="AA5" s="321">
        <f>'ABC GRADE'!P20</f>
        <v>360</v>
      </c>
      <c r="AB5" s="322">
        <f>AA5/AA8</f>
        <v>0.98765432098765427</v>
      </c>
      <c r="AC5" s="321">
        <f>'ABC GRADE'!Q20</f>
        <v>0</v>
      </c>
      <c r="AD5" s="322" t="e">
        <f>AC5/AC8</f>
        <v>#DIV/0!</v>
      </c>
      <c r="AE5" s="321">
        <f>'ABC GRADE'!R20</f>
        <v>0</v>
      </c>
      <c r="AF5" s="322" t="e">
        <f>AE5/AE8</f>
        <v>#DIV/0!</v>
      </c>
      <c r="AG5" s="323">
        <f>+U5+W5+Y5+AA5+AC5+AE5</f>
        <v>1826</v>
      </c>
      <c r="AH5" s="324">
        <f>AG5/AG8</f>
        <v>0.98863021115322147</v>
      </c>
      <c r="AJ5" s="535"/>
      <c r="AK5" s="320" t="s">
        <v>11</v>
      </c>
      <c r="AL5" s="321">
        <f>'ABC GRADE'!U20</f>
        <v>0</v>
      </c>
      <c r="AM5" s="327" t="e">
        <f>AL5/AL8</f>
        <v>#DIV/0!</v>
      </c>
      <c r="AN5" s="321">
        <f>'ABC GRADE'!V20</f>
        <v>0</v>
      </c>
      <c r="AO5" s="327" t="e">
        <f>AN5/AN8</f>
        <v>#DIV/0!</v>
      </c>
      <c r="AP5" s="321">
        <f>'ABC GRADE'!W20</f>
        <v>0</v>
      </c>
      <c r="AQ5" s="327" t="e">
        <f>AP5/AP8</f>
        <v>#DIV/0!</v>
      </c>
      <c r="AR5" s="321">
        <f>'ABC GRADE'!X20</f>
        <v>0</v>
      </c>
      <c r="AS5" s="327" t="e">
        <f>AR5/AR8</f>
        <v>#DIV/0!</v>
      </c>
      <c r="AT5" s="321">
        <f>'ABC GRADE'!Y20</f>
        <v>0</v>
      </c>
      <c r="AU5" s="327" t="e">
        <f>AT5/AT8</f>
        <v>#DIV/0!</v>
      </c>
      <c r="AV5" s="321">
        <f>'ABC GRADE'!Z20</f>
        <v>0</v>
      </c>
      <c r="AW5" s="327" t="e">
        <f>AV5/AV8</f>
        <v>#DIV/0!</v>
      </c>
      <c r="AX5" s="328">
        <f>+AL5+AN5+AP5+AR5+AT5+AV5</f>
        <v>0</v>
      </c>
      <c r="AY5" s="329" t="e">
        <f>AX5/AX8</f>
        <v>#DIV/0!</v>
      </c>
      <c r="BA5" s="535"/>
      <c r="BB5" s="320" t="s">
        <v>11</v>
      </c>
      <c r="BC5" s="321">
        <f>'ABC GRADE'!AC20</f>
        <v>0</v>
      </c>
      <c r="BD5" s="327" t="e">
        <f>BC5/BC8</f>
        <v>#DIV/0!</v>
      </c>
      <c r="BE5" s="321">
        <f>'ABC GRADE'!AD20</f>
        <v>0</v>
      </c>
      <c r="BF5" s="327" t="e">
        <f>BE5/BE8</f>
        <v>#DIV/0!</v>
      </c>
      <c r="BG5" s="321">
        <f>'ABC GRADE'!AE20</f>
        <v>0</v>
      </c>
      <c r="BH5" s="327" t="e">
        <f>BG5/BG8</f>
        <v>#DIV/0!</v>
      </c>
      <c r="BI5" s="321">
        <f>'ABC GRADE'!AF20</f>
        <v>0</v>
      </c>
      <c r="BJ5" s="321" t="e">
        <f>BI5/BI8</f>
        <v>#DIV/0!</v>
      </c>
      <c r="BK5" s="321">
        <f>'ABC GRADE'!AG20</f>
        <v>0</v>
      </c>
      <c r="BL5" s="327" t="e">
        <f>BK5/BK8</f>
        <v>#DIV/0!</v>
      </c>
      <c r="BM5" s="321">
        <f>'ABC GRADE'!AH20</f>
        <v>0</v>
      </c>
      <c r="BN5" s="321" t="e">
        <f>BM5/BM8</f>
        <v>#DIV/0!</v>
      </c>
      <c r="BO5" s="328">
        <f>+BC5+BE5+BG5+BI5+BK5+BM5</f>
        <v>0</v>
      </c>
      <c r="BP5" s="329" t="e">
        <f>BO5/BO8</f>
        <v>#DIV/0!</v>
      </c>
      <c r="BR5" s="535"/>
      <c r="BS5" s="320" t="s">
        <v>11</v>
      </c>
      <c r="BT5" s="321">
        <f>'ABC GRADE'!AK18</f>
        <v>0</v>
      </c>
      <c r="BU5" s="321" t="e">
        <f>BT5/BT8</f>
        <v>#DIV/0!</v>
      </c>
      <c r="BV5" s="321">
        <f>'ABC GRADE'!AL18</f>
        <v>0</v>
      </c>
      <c r="BW5" s="321" t="e">
        <f>BV5/BV8</f>
        <v>#DIV/0!</v>
      </c>
      <c r="BX5" s="321">
        <f>'ABC GRADE'!AM18</f>
        <v>0</v>
      </c>
      <c r="BY5" s="321" t="e">
        <f>BX5/BX8</f>
        <v>#DIV/0!</v>
      </c>
      <c r="BZ5" s="321">
        <f>'ABC GRADE'!AN18</f>
        <v>0</v>
      </c>
      <c r="CA5" s="321" t="e">
        <f>BZ5/BZ8</f>
        <v>#DIV/0!</v>
      </c>
      <c r="CB5" s="321">
        <f>'ABC GRADE'!AO18</f>
        <v>0</v>
      </c>
      <c r="CC5" s="321" t="e">
        <f>CB5/CB8</f>
        <v>#DIV/0!</v>
      </c>
      <c r="CD5" s="321">
        <f>'ABC GRADE'!AP18</f>
        <v>0</v>
      </c>
      <c r="CE5" s="321" t="e">
        <f>CD5/CD8</f>
        <v>#DIV/0!</v>
      </c>
      <c r="CF5" s="328">
        <f>+BT5+BV5+BX5+BZ5+CB5+CD5</f>
        <v>0</v>
      </c>
      <c r="CG5" s="328" t="e">
        <f>CF5/CF8</f>
        <v>#DIV/0!</v>
      </c>
    </row>
    <row r="6" spans="2:85" ht="31.5" customHeight="1">
      <c r="B6" s="535"/>
      <c r="C6" s="320" t="s">
        <v>99</v>
      </c>
      <c r="D6" s="321">
        <f>'ABC GRADE'!D8</f>
        <v>0</v>
      </c>
      <c r="E6" s="337">
        <f>D6/D8</f>
        <v>0</v>
      </c>
      <c r="F6" s="321">
        <f>'ABC GRADE'!E8</f>
        <v>0</v>
      </c>
      <c r="G6" s="322">
        <f>F6/F8</f>
        <v>0</v>
      </c>
      <c r="H6" s="321">
        <f>'ABC GRADE'!F8</f>
        <v>0</v>
      </c>
      <c r="I6" s="322">
        <f>H6/H8</f>
        <v>0</v>
      </c>
      <c r="J6" s="321">
        <f>'ABC GRADE'!G8</f>
        <v>0</v>
      </c>
      <c r="K6" s="322">
        <f>J6/J8</f>
        <v>0</v>
      </c>
      <c r="L6" s="321">
        <f>'ABC GRADE'!H8</f>
        <v>0</v>
      </c>
      <c r="M6" s="322">
        <f>L6/L8</f>
        <v>0</v>
      </c>
      <c r="N6" s="321">
        <f>'ABC GRADE'!I8</f>
        <v>0</v>
      </c>
      <c r="O6" s="322">
        <f>N6/N8</f>
        <v>0</v>
      </c>
      <c r="P6" s="323">
        <f>+D6+F6+H6+J6+L6+N6</f>
        <v>0</v>
      </c>
      <c r="Q6" s="324">
        <f>P6/P8</f>
        <v>0</v>
      </c>
      <c r="S6" s="535"/>
      <c r="T6" s="320" t="s">
        <v>99</v>
      </c>
      <c r="U6" s="321">
        <f>'ABC GRADE'!M8</f>
        <v>0</v>
      </c>
      <c r="V6" s="322">
        <f>U6/U8</f>
        <v>0</v>
      </c>
      <c r="W6" s="321">
        <f>'ABC GRADE'!N8</f>
        <v>0</v>
      </c>
      <c r="X6" s="322">
        <f>W6/W8</f>
        <v>0</v>
      </c>
      <c r="Y6" s="321">
        <f>'ABC GRADE'!O8</f>
        <v>0</v>
      </c>
      <c r="Z6" s="322">
        <f>Y6/Y8</f>
        <v>0</v>
      </c>
      <c r="AA6" s="321">
        <f>'ABC GRADE'!P8</f>
        <v>0</v>
      </c>
      <c r="AB6" s="322">
        <f>AA6/AA8</f>
        <v>0</v>
      </c>
      <c r="AC6" s="321">
        <f>'ABC GRADE'!Q8</f>
        <v>0</v>
      </c>
      <c r="AD6" s="322" t="e">
        <f>AC6/AC8</f>
        <v>#DIV/0!</v>
      </c>
      <c r="AE6" s="321">
        <f>'ABC GRADE'!R8</f>
        <v>0</v>
      </c>
      <c r="AF6" s="322" t="e">
        <f>AE6/AE8</f>
        <v>#DIV/0!</v>
      </c>
      <c r="AG6" s="323">
        <f>+U6+W6+Y6+AA6+AC6+AE6</f>
        <v>0</v>
      </c>
      <c r="AH6" s="324">
        <f>AG6/AG8</f>
        <v>0</v>
      </c>
      <c r="AJ6" s="535"/>
      <c r="AK6" s="320" t="s">
        <v>99</v>
      </c>
      <c r="AL6" s="321">
        <f>'ABC GRADE'!U8</f>
        <v>0</v>
      </c>
      <c r="AM6" s="327" t="e">
        <f>AL6/AL8</f>
        <v>#DIV/0!</v>
      </c>
      <c r="AN6" s="321">
        <f>'ABC GRADE'!V8</f>
        <v>0</v>
      </c>
      <c r="AO6" s="327" t="e">
        <f>AN6/AN8</f>
        <v>#DIV/0!</v>
      </c>
      <c r="AP6" s="321">
        <f>'ABC GRADE'!W8</f>
        <v>0</v>
      </c>
      <c r="AQ6" s="327" t="e">
        <f>AP6/AP8</f>
        <v>#DIV/0!</v>
      </c>
      <c r="AR6" s="321">
        <f>'ABC GRADE'!X8</f>
        <v>0</v>
      </c>
      <c r="AS6" s="327" t="e">
        <f>AR6/AR8</f>
        <v>#DIV/0!</v>
      </c>
      <c r="AT6" s="321">
        <f>'ABC GRADE'!Y8</f>
        <v>0</v>
      </c>
      <c r="AU6" s="327" t="e">
        <f>AT6/AT8</f>
        <v>#DIV/0!</v>
      </c>
      <c r="AV6" s="321">
        <f>'ABC GRADE'!Z8</f>
        <v>0</v>
      </c>
      <c r="AW6" s="327" t="e">
        <f>AV6/AV8</f>
        <v>#DIV/0!</v>
      </c>
      <c r="AX6" s="328">
        <f>+AL6+AN6+AP6+AR6+AT6+AV6</f>
        <v>0</v>
      </c>
      <c r="AY6" s="329" t="e">
        <f>AX6/AX8</f>
        <v>#DIV/0!</v>
      </c>
      <c r="BA6" s="535"/>
      <c r="BB6" s="320" t="s">
        <v>99</v>
      </c>
      <c r="BC6" s="321">
        <f>'ABC GRADE'!AC8</f>
        <v>0</v>
      </c>
      <c r="BD6" s="327" t="e">
        <f>BC6/BC8</f>
        <v>#DIV/0!</v>
      </c>
      <c r="BE6" s="321">
        <f>'ABC GRADE'!AD8</f>
        <v>0</v>
      </c>
      <c r="BF6" s="327" t="e">
        <f>BE6/BE8</f>
        <v>#DIV/0!</v>
      </c>
      <c r="BG6" s="321">
        <f>'ABC GRADE'!AE8</f>
        <v>0</v>
      </c>
      <c r="BH6" s="327" t="e">
        <f>BG6/BG8</f>
        <v>#DIV/0!</v>
      </c>
      <c r="BI6" s="321">
        <f>'ABC GRADE'!AF8</f>
        <v>0</v>
      </c>
      <c r="BJ6" s="321" t="e">
        <f>BI6/BI8</f>
        <v>#DIV/0!</v>
      </c>
      <c r="BK6" s="321">
        <f>'ABC GRADE'!AG6</f>
        <v>0</v>
      </c>
      <c r="BL6" s="327" t="e">
        <f>BK6/BK8</f>
        <v>#DIV/0!</v>
      </c>
      <c r="BM6" s="321">
        <f>'ABC GRADE'!AH8</f>
        <v>0</v>
      </c>
      <c r="BN6" s="321" t="e">
        <f>BM6/BM8</f>
        <v>#DIV/0!</v>
      </c>
      <c r="BO6" s="328">
        <f>+BC6+BE6+BG6+BI6+BK6+BM6</f>
        <v>0</v>
      </c>
      <c r="BP6" s="494" t="e">
        <f>BO6/BO8</f>
        <v>#DIV/0!</v>
      </c>
      <c r="BR6" s="535"/>
      <c r="BS6" s="320" t="s">
        <v>99</v>
      </c>
      <c r="BT6" s="321">
        <f>'ABC GRADE'!AK8</f>
        <v>0</v>
      </c>
      <c r="BU6" s="321" t="e">
        <f>BT6/BT8</f>
        <v>#DIV/0!</v>
      </c>
      <c r="BV6" s="321">
        <f>'ABC GRADE'!AL8</f>
        <v>0</v>
      </c>
      <c r="BW6" s="321" t="e">
        <f>BV6/BV8</f>
        <v>#DIV/0!</v>
      </c>
      <c r="BX6" s="321">
        <f>'ABC GRADE'!AM8</f>
        <v>0</v>
      </c>
      <c r="BY6" s="321" t="e">
        <f>BX6/BX8</f>
        <v>#DIV/0!</v>
      </c>
      <c r="BZ6" s="321">
        <f>'ABC GRADE'!AN8</f>
        <v>0</v>
      </c>
      <c r="CA6" s="321" t="e">
        <f>BZ6/BZ8</f>
        <v>#DIV/0!</v>
      </c>
      <c r="CB6" s="321">
        <f>'ABC GRADE'!AO8</f>
        <v>0</v>
      </c>
      <c r="CC6" s="321" t="e">
        <f>CB6/CB8</f>
        <v>#DIV/0!</v>
      </c>
      <c r="CD6" s="321">
        <f>'ABC GRADE'!AP8</f>
        <v>0</v>
      </c>
      <c r="CE6" s="321" t="e">
        <f>CD6/CD8</f>
        <v>#DIV/0!</v>
      </c>
      <c r="CF6" s="328">
        <f>+BT6+BV6+BX6+BZ6+CB6+CD6</f>
        <v>0</v>
      </c>
      <c r="CG6" s="328" t="e">
        <f>CF6/CF8</f>
        <v>#DIV/0!</v>
      </c>
    </row>
    <row r="7" spans="2:85" ht="31.5" customHeight="1">
      <c r="B7" s="535"/>
      <c r="C7" s="320" t="s">
        <v>100</v>
      </c>
      <c r="D7" s="321">
        <f>'ABC GRADE'!D16</f>
        <v>0.5</v>
      </c>
      <c r="E7" s="337">
        <f>D7/D8</f>
        <v>1</v>
      </c>
      <c r="F7" s="321">
        <f>'ABC GRADE'!E16</f>
        <v>2</v>
      </c>
      <c r="G7" s="322">
        <f>F7/F8</f>
        <v>2.1739130434782608E-2</v>
      </c>
      <c r="H7" s="321">
        <f>'ABC GRADE'!F16</f>
        <v>20</v>
      </c>
      <c r="I7" s="322">
        <f>H7/H8</f>
        <v>6.4516129032258063E-2</v>
      </c>
      <c r="J7" s="321">
        <f>'ABC GRADE'!G16</f>
        <v>2.5</v>
      </c>
      <c r="K7" s="322">
        <f>J7/J8</f>
        <v>5.4054054054054057E-3</v>
      </c>
      <c r="L7" s="321">
        <f>'ABC GRADE'!H16</f>
        <v>6</v>
      </c>
      <c r="M7" s="322">
        <f>L7/L8</f>
        <v>1.7857142857142856E-2</v>
      </c>
      <c r="N7" s="321">
        <f>'ABC GRADE'!I16</f>
        <v>5</v>
      </c>
      <c r="O7" s="322">
        <f>N7/N8</f>
        <v>1.4492753623188406E-2</v>
      </c>
      <c r="P7" s="323">
        <f>+D7+F7+H7+J7+L7+N7</f>
        <v>36</v>
      </c>
      <c r="Q7" s="324">
        <f>P7/P8</f>
        <v>2.3285899094437259E-2</v>
      </c>
      <c r="S7" s="535"/>
      <c r="T7" s="320" t="s">
        <v>100</v>
      </c>
      <c r="U7" s="321">
        <f>'ABC GRADE'!M16</f>
        <v>1.5</v>
      </c>
      <c r="V7" s="322">
        <f>U7/U8</f>
        <v>4.815409309791332E-3</v>
      </c>
      <c r="W7" s="321">
        <f>'ABC GRADE'!N16</f>
        <v>3.5</v>
      </c>
      <c r="X7" s="322">
        <f>W7/W8</f>
        <v>9.126466753585397E-3</v>
      </c>
      <c r="Y7" s="321">
        <f>'ABC GRADE'!O16</f>
        <v>11.5</v>
      </c>
      <c r="Z7" s="322">
        <f>Y7/Y8</f>
        <v>1.4603174603174604E-2</v>
      </c>
      <c r="AA7" s="321">
        <f>'ABC GRADE'!P16</f>
        <v>4.5</v>
      </c>
      <c r="AB7" s="322">
        <f>AA7/AA8</f>
        <v>1.2345679012345678E-2</v>
      </c>
      <c r="AC7" s="321">
        <f>'ABC GRADE'!Q16</f>
        <v>0</v>
      </c>
      <c r="AD7" s="322" t="e">
        <f>AC7/AC8</f>
        <v>#DIV/0!</v>
      </c>
      <c r="AE7" s="321">
        <f>'ABC GRADE'!R16</f>
        <v>0</v>
      </c>
      <c r="AF7" s="322" t="e">
        <f>AE7/AE8</f>
        <v>#DIV/0!</v>
      </c>
      <c r="AG7" s="323">
        <f>+U7+W7+Y7+AA7+AC7+AE7</f>
        <v>21</v>
      </c>
      <c r="AH7" s="324">
        <f>AG7/AG8</f>
        <v>1.1369788846778559E-2</v>
      </c>
      <c r="AJ7" s="535"/>
      <c r="AK7" s="320" t="s">
        <v>100</v>
      </c>
      <c r="AL7" s="321">
        <f>'ABC GRADE'!U16</f>
        <v>0</v>
      </c>
      <c r="AM7" s="327" t="e">
        <f>AL7/AL8</f>
        <v>#DIV/0!</v>
      </c>
      <c r="AN7" s="321">
        <f>'ABC GRADE'!V16</f>
        <v>0</v>
      </c>
      <c r="AO7" s="327" t="e">
        <f>AN7/AN8</f>
        <v>#DIV/0!</v>
      </c>
      <c r="AP7" s="321">
        <f>'ABC GRADE'!W16</f>
        <v>0</v>
      </c>
      <c r="AQ7" s="327" t="e">
        <f>AP7/AP8</f>
        <v>#DIV/0!</v>
      </c>
      <c r="AR7" s="321">
        <f>'ABC GRADE'!X16</f>
        <v>0</v>
      </c>
      <c r="AS7" s="327" t="e">
        <f>AR7/AR8</f>
        <v>#DIV/0!</v>
      </c>
      <c r="AT7" s="321">
        <f>'ABC GRADE'!Y16</f>
        <v>0</v>
      </c>
      <c r="AU7" s="327" t="e">
        <f>AT7/AT8</f>
        <v>#DIV/0!</v>
      </c>
      <c r="AV7" s="321">
        <f>'ABC GRADE'!Z16</f>
        <v>0</v>
      </c>
      <c r="AW7" s="327" t="e">
        <f>AV7/AV8</f>
        <v>#DIV/0!</v>
      </c>
      <c r="AX7" s="328">
        <f>+AL7+AN7+AP7+AR7+AT7+AV7</f>
        <v>0</v>
      </c>
      <c r="AY7" s="329" t="e">
        <f>AX7/AX8</f>
        <v>#DIV/0!</v>
      </c>
      <c r="BA7" s="535"/>
      <c r="BB7" s="320" t="s">
        <v>100</v>
      </c>
      <c r="BC7" s="321">
        <f>'ABC GRADE'!AC16</f>
        <v>0</v>
      </c>
      <c r="BD7" s="327" t="e">
        <f>BC7/BC8</f>
        <v>#DIV/0!</v>
      </c>
      <c r="BE7" s="321">
        <f>'ABC GRADE'!AD16</f>
        <v>0</v>
      </c>
      <c r="BF7" s="327" t="e">
        <f>BE7/BE8</f>
        <v>#DIV/0!</v>
      </c>
      <c r="BG7" s="321">
        <f>'ABC GRADE'!AE16</f>
        <v>0</v>
      </c>
      <c r="BH7" s="327" t="e">
        <f>BG7/BG8</f>
        <v>#DIV/0!</v>
      </c>
      <c r="BI7" s="321">
        <f>'ABC GRADE'!AF16</f>
        <v>0</v>
      </c>
      <c r="BJ7" s="321" t="e">
        <f>BI7/BI8</f>
        <v>#DIV/0!</v>
      </c>
      <c r="BK7" s="321">
        <f>'ABC GRADE'!AG16</f>
        <v>0</v>
      </c>
      <c r="BL7" s="327" t="e">
        <f>BK7/BK8</f>
        <v>#DIV/0!</v>
      </c>
      <c r="BM7" s="321">
        <f>'ABC GRADE'!AH16</f>
        <v>0</v>
      </c>
      <c r="BN7" s="321" t="e">
        <f>BM7/BM8</f>
        <v>#DIV/0!</v>
      </c>
      <c r="BO7" s="328">
        <f>+BC7+BE7+BG7+BI7+BK7+BM7</f>
        <v>0</v>
      </c>
      <c r="BP7" s="494" t="e">
        <f>BO7/BO8</f>
        <v>#DIV/0!</v>
      </c>
      <c r="BR7" s="535"/>
      <c r="BS7" s="320" t="s">
        <v>100</v>
      </c>
      <c r="BT7" s="321">
        <f>'ABC GRADE'!AK16</f>
        <v>0</v>
      </c>
      <c r="BU7" s="321" t="e">
        <f>BT7/BT8</f>
        <v>#DIV/0!</v>
      </c>
      <c r="BV7" s="321">
        <f>'ABC GRADE'!AL16</f>
        <v>0</v>
      </c>
      <c r="BW7" s="321" t="e">
        <f>BV7/BV8</f>
        <v>#DIV/0!</v>
      </c>
      <c r="BX7" s="321">
        <f>'ABC GRADE'!AM16</f>
        <v>0</v>
      </c>
      <c r="BY7" s="321" t="e">
        <f>BX7/BX8</f>
        <v>#DIV/0!</v>
      </c>
      <c r="BZ7" s="321">
        <f>'ABC GRADE'!AN16</f>
        <v>0</v>
      </c>
      <c r="CA7" s="321" t="e">
        <f>BZ7/BZ8</f>
        <v>#DIV/0!</v>
      </c>
      <c r="CB7" s="321">
        <f>'ABC GRADE'!AO16</f>
        <v>0</v>
      </c>
      <c r="CC7" s="321" t="e">
        <f>CB7/CB8</f>
        <v>#DIV/0!</v>
      </c>
      <c r="CD7" s="321">
        <f>'ABC GRADE'!AP16</f>
        <v>0</v>
      </c>
      <c r="CE7" s="458" t="e">
        <f>CD7/CD8</f>
        <v>#DIV/0!</v>
      </c>
      <c r="CF7" s="328">
        <f>+BT7+BV7+BX7+BZ7+CB7+CD7</f>
        <v>0</v>
      </c>
      <c r="CG7" s="328" t="e">
        <f>CF7/CF8</f>
        <v>#DIV/0!</v>
      </c>
    </row>
    <row r="8" spans="2:85" ht="39.75" customHeight="1">
      <c r="B8" s="535"/>
      <c r="C8" s="325" t="s">
        <v>101</v>
      </c>
      <c r="D8" s="518">
        <f>SUM(D5:D7)</f>
        <v>0.5</v>
      </c>
      <c r="E8" s="519"/>
      <c r="F8" s="518">
        <f>SUM(F5:F7)</f>
        <v>92</v>
      </c>
      <c r="G8" s="519"/>
      <c r="H8" s="518">
        <f>SUM(H5:H7)</f>
        <v>310</v>
      </c>
      <c r="I8" s="519"/>
      <c r="J8" s="518">
        <f>SUM(J5:J7)</f>
        <v>462.5</v>
      </c>
      <c r="K8" s="519"/>
      <c r="L8" s="518">
        <f>SUM(L5:L7)</f>
        <v>336</v>
      </c>
      <c r="M8" s="519"/>
      <c r="N8" s="518">
        <f>SUM(N5:N7)</f>
        <v>345</v>
      </c>
      <c r="O8" s="519"/>
      <c r="P8" s="518">
        <f>SUM(P5:P7)</f>
        <v>1546</v>
      </c>
      <c r="Q8" s="519"/>
      <c r="S8" s="535"/>
      <c r="T8" s="320" t="s">
        <v>37</v>
      </c>
      <c r="U8" s="518">
        <f>SUM(U5:U7)</f>
        <v>311.5</v>
      </c>
      <c r="V8" s="519"/>
      <c r="W8" s="518">
        <f>SUM(W5:W7)</f>
        <v>383.5</v>
      </c>
      <c r="X8" s="519"/>
      <c r="Y8" s="518">
        <f>SUM(Y5:Y7)</f>
        <v>787.5</v>
      </c>
      <c r="Z8" s="519"/>
      <c r="AA8" s="518">
        <f>SUM(AA5:AA7)</f>
        <v>364.5</v>
      </c>
      <c r="AB8" s="519"/>
      <c r="AC8" s="518">
        <f>SUM(AC5:AC7)</f>
        <v>0</v>
      </c>
      <c r="AD8" s="519"/>
      <c r="AE8" s="518">
        <f>SUM(AE5:AE7)</f>
        <v>0</v>
      </c>
      <c r="AF8" s="519"/>
      <c r="AG8" s="518">
        <f>SUM(AG5:AG7)</f>
        <v>1847</v>
      </c>
      <c r="AH8" s="519"/>
      <c r="AJ8" s="535"/>
      <c r="AK8" s="325" t="s">
        <v>37</v>
      </c>
      <c r="AL8" s="523">
        <f>SUM(AL5:AL7)</f>
        <v>0</v>
      </c>
      <c r="AM8" s="524"/>
      <c r="AN8" s="523">
        <f>SUM(AN5:AN7)</f>
        <v>0</v>
      </c>
      <c r="AO8" s="524"/>
      <c r="AP8" s="523">
        <f>SUM(AP5:AP7)</f>
        <v>0</v>
      </c>
      <c r="AQ8" s="524"/>
      <c r="AR8" s="523">
        <f>SUM(AR5:AR7)</f>
        <v>0</v>
      </c>
      <c r="AS8" s="524"/>
      <c r="AT8" s="523">
        <f>SUM(AT5:AT7)</f>
        <v>0</v>
      </c>
      <c r="AU8" s="524"/>
      <c r="AV8" s="523">
        <f>SUM(AV5:AV7)</f>
        <v>0</v>
      </c>
      <c r="AW8" s="524"/>
      <c r="AX8" s="523">
        <f>SUM(AX5:AX7)</f>
        <v>0</v>
      </c>
      <c r="AY8" s="524"/>
      <c r="BA8" s="535"/>
      <c r="BB8" s="325" t="s">
        <v>37</v>
      </c>
      <c r="BC8" s="523">
        <f>SUM(BC5:BC7)</f>
        <v>0</v>
      </c>
      <c r="BD8" s="524"/>
      <c r="BE8" s="523">
        <f>SUM(BE5:BE7)</f>
        <v>0</v>
      </c>
      <c r="BF8" s="524"/>
      <c r="BG8" s="523">
        <f>SUM(BG5:BG7)</f>
        <v>0</v>
      </c>
      <c r="BH8" s="524"/>
      <c r="BI8" s="523">
        <f>SUM(BI5:BI7)</f>
        <v>0</v>
      </c>
      <c r="BJ8" s="524"/>
      <c r="BK8" s="523">
        <f>SUM(BK5:BK7)</f>
        <v>0</v>
      </c>
      <c r="BL8" s="524"/>
      <c r="BM8" s="523">
        <f>SUM(BM5:BM7)</f>
        <v>0</v>
      </c>
      <c r="BN8" s="524"/>
      <c r="BO8" s="523">
        <f>SUM(BO5:BO7)</f>
        <v>0</v>
      </c>
      <c r="BP8" s="524"/>
      <c r="BR8" s="535"/>
      <c r="BS8" s="325" t="s">
        <v>37</v>
      </c>
      <c r="BT8" s="523">
        <f>SUM(BT5:BT7)</f>
        <v>0</v>
      </c>
      <c r="BU8" s="524"/>
      <c r="BV8" s="523">
        <f>SUM(BV5:BV7)</f>
        <v>0</v>
      </c>
      <c r="BW8" s="524"/>
      <c r="BX8" s="523">
        <f>SUM(BX5:BX7)</f>
        <v>0</v>
      </c>
      <c r="BY8" s="524"/>
      <c r="BZ8" s="523">
        <f>SUM(BZ5:BZ7)</f>
        <v>0</v>
      </c>
      <c r="CA8" s="524"/>
      <c r="CB8" s="523">
        <f>SUM(CB5:CB7)</f>
        <v>0</v>
      </c>
      <c r="CC8" s="524"/>
      <c r="CD8" s="523">
        <f>SUM(CD5:CD7)</f>
        <v>0</v>
      </c>
      <c r="CE8" s="524"/>
      <c r="CF8" s="523">
        <f>SUM(BT8:CE8)</f>
        <v>0</v>
      </c>
      <c r="CG8" s="524"/>
    </row>
    <row r="9" spans="2:85">
      <c r="B9" s="535"/>
      <c r="C9" s="525"/>
      <c r="D9" s="525"/>
      <c r="E9" s="525"/>
      <c r="F9" s="525"/>
      <c r="G9" s="525"/>
      <c r="H9" s="525"/>
      <c r="I9" s="525"/>
      <c r="J9" s="525"/>
      <c r="K9" s="525"/>
      <c r="L9" s="525"/>
      <c r="M9" s="525"/>
      <c r="N9" s="525"/>
      <c r="O9" s="525"/>
      <c r="P9" s="525"/>
      <c r="Q9" s="525"/>
      <c r="S9" s="535"/>
      <c r="T9" s="526"/>
      <c r="U9" s="527"/>
      <c r="V9" s="527"/>
      <c r="W9" s="527"/>
      <c r="X9" s="527"/>
      <c r="Y9" s="527"/>
      <c r="Z9" s="527"/>
      <c r="AA9" s="527"/>
      <c r="AB9" s="527"/>
      <c r="AC9" s="527"/>
      <c r="AD9" s="527"/>
      <c r="AE9" s="527"/>
      <c r="AF9" s="527"/>
      <c r="AG9" s="527"/>
      <c r="AH9" s="528"/>
      <c r="AJ9" s="535"/>
      <c r="AK9" s="526"/>
      <c r="AL9" s="527"/>
      <c r="AM9" s="527"/>
      <c r="AN9" s="527"/>
      <c r="AO9" s="527"/>
      <c r="AP9" s="527"/>
      <c r="AQ9" s="527"/>
      <c r="AR9" s="527"/>
      <c r="AS9" s="527"/>
      <c r="AT9" s="527"/>
      <c r="AU9" s="527"/>
      <c r="AV9" s="527"/>
      <c r="AW9" s="527"/>
      <c r="AX9" s="527"/>
      <c r="AY9" s="528"/>
      <c r="BA9" s="535"/>
      <c r="BB9" s="526"/>
      <c r="BC9" s="527"/>
      <c r="BD9" s="527"/>
      <c r="BE9" s="527"/>
      <c r="BF9" s="527"/>
      <c r="BG9" s="527"/>
      <c r="BH9" s="527"/>
      <c r="BI9" s="527"/>
      <c r="BJ9" s="527"/>
      <c r="BK9" s="527"/>
      <c r="BL9" s="527"/>
      <c r="BM9" s="527"/>
      <c r="BN9" s="527"/>
      <c r="BO9" s="527"/>
      <c r="BP9" s="528"/>
      <c r="BR9" s="535"/>
      <c r="BS9" s="526"/>
      <c r="BT9" s="527"/>
      <c r="BU9" s="527"/>
      <c r="BV9" s="527"/>
      <c r="BW9" s="527"/>
      <c r="BX9" s="527"/>
      <c r="BY9" s="527"/>
      <c r="BZ9" s="527"/>
      <c r="CA9" s="527"/>
      <c r="CB9" s="527"/>
      <c r="CC9" s="527"/>
      <c r="CD9" s="527"/>
      <c r="CE9" s="527"/>
      <c r="CF9" s="527"/>
      <c r="CG9" s="528"/>
    </row>
    <row r="10" spans="2:85">
      <c r="B10" s="535"/>
      <c r="C10" s="525"/>
      <c r="D10" s="525"/>
      <c r="E10" s="525"/>
      <c r="F10" s="525"/>
      <c r="G10" s="525"/>
      <c r="H10" s="525"/>
      <c r="I10" s="525"/>
      <c r="J10" s="525"/>
      <c r="K10" s="525"/>
      <c r="L10" s="525"/>
      <c r="M10" s="525"/>
      <c r="N10" s="525"/>
      <c r="O10" s="525"/>
      <c r="P10" s="525"/>
      <c r="Q10" s="525"/>
      <c r="S10" s="535"/>
      <c r="T10" s="529"/>
      <c r="U10" s="530"/>
      <c r="V10" s="530"/>
      <c r="W10" s="530"/>
      <c r="X10" s="530"/>
      <c r="Y10" s="530"/>
      <c r="Z10" s="530"/>
      <c r="AA10" s="530"/>
      <c r="AB10" s="530"/>
      <c r="AC10" s="530"/>
      <c r="AD10" s="530"/>
      <c r="AE10" s="530"/>
      <c r="AF10" s="530"/>
      <c r="AG10" s="530"/>
      <c r="AH10" s="531"/>
      <c r="AJ10" s="535"/>
      <c r="AK10" s="529"/>
      <c r="AL10" s="530"/>
      <c r="AM10" s="530"/>
      <c r="AN10" s="530"/>
      <c r="AO10" s="530"/>
      <c r="AP10" s="530"/>
      <c r="AQ10" s="530"/>
      <c r="AR10" s="530"/>
      <c r="AS10" s="530"/>
      <c r="AT10" s="530"/>
      <c r="AU10" s="530"/>
      <c r="AV10" s="530"/>
      <c r="AW10" s="530"/>
      <c r="AX10" s="530"/>
      <c r="AY10" s="531"/>
      <c r="BA10" s="535"/>
      <c r="BB10" s="529"/>
      <c r="BC10" s="530"/>
      <c r="BD10" s="530"/>
      <c r="BE10" s="530"/>
      <c r="BF10" s="530"/>
      <c r="BG10" s="530"/>
      <c r="BH10" s="530"/>
      <c r="BI10" s="530"/>
      <c r="BJ10" s="530"/>
      <c r="BK10" s="530"/>
      <c r="BL10" s="530"/>
      <c r="BM10" s="530"/>
      <c r="BN10" s="530"/>
      <c r="BO10" s="530"/>
      <c r="BP10" s="531"/>
      <c r="BR10" s="535"/>
      <c r="BS10" s="529"/>
      <c r="BT10" s="530"/>
      <c r="BU10" s="530"/>
      <c r="BV10" s="530"/>
      <c r="BW10" s="530"/>
      <c r="BX10" s="530"/>
      <c r="BY10" s="530"/>
      <c r="BZ10" s="530"/>
      <c r="CA10" s="530"/>
      <c r="CB10" s="530"/>
      <c r="CC10" s="530"/>
      <c r="CD10" s="530"/>
      <c r="CE10" s="530"/>
      <c r="CF10" s="530"/>
      <c r="CG10" s="531"/>
    </row>
    <row r="11" spans="2:85">
      <c r="B11" s="535"/>
      <c r="C11" s="525"/>
      <c r="D11" s="525"/>
      <c r="E11" s="525"/>
      <c r="F11" s="525"/>
      <c r="G11" s="525"/>
      <c r="H11" s="525"/>
      <c r="I11" s="525"/>
      <c r="J11" s="525"/>
      <c r="K11" s="525"/>
      <c r="L11" s="525"/>
      <c r="M11" s="525"/>
      <c r="N11" s="525"/>
      <c r="O11" s="525"/>
      <c r="P11" s="525"/>
      <c r="Q11" s="525"/>
      <c r="S11" s="535"/>
      <c r="T11" s="529"/>
      <c r="U11" s="530"/>
      <c r="V11" s="530"/>
      <c r="W11" s="530"/>
      <c r="X11" s="530"/>
      <c r="Y11" s="530"/>
      <c r="Z11" s="530"/>
      <c r="AA11" s="530"/>
      <c r="AB11" s="530"/>
      <c r="AC11" s="530"/>
      <c r="AD11" s="530"/>
      <c r="AE11" s="530"/>
      <c r="AF11" s="530"/>
      <c r="AG11" s="530"/>
      <c r="AH11" s="531"/>
      <c r="AJ11" s="535"/>
      <c r="AK11" s="529"/>
      <c r="AL11" s="530"/>
      <c r="AM11" s="530"/>
      <c r="AN11" s="530"/>
      <c r="AO11" s="530"/>
      <c r="AP11" s="530"/>
      <c r="AQ11" s="530"/>
      <c r="AR11" s="530"/>
      <c r="AS11" s="530"/>
      <c r="AT11" s="530"/>
      <c r="AU11" s="530"/>
      <c r="AV11" s="530"/>
      <c r="AW11" s="530"/>
      <c r="AX11" s="530"/>
      <c r="AY11" s="531"/>
      <c r="BA11" s="535"/>
      <c r="BB11" s="529"/>
      <c r="BC11" s="530"/>
      <c r="BD11" s="530"/>
      <c r="BE11" s="530"/>
      <c r="BF11" s="530"/>
      <c r="BG11" s="530"/>
      <c r="BH11" s="530"/>
      <c r="BI11" s="530"/>
      <c r="BJ11" s="530"/>
      <c r="BK11" s="530"/>
      <c r="BL11" s="530"/>
      <c r="BM11" s="530"/>
      <c r="BN11" s="530"/>
      <c r="BO11" s="530"/>
      <c r="BP11" s="531"/>
      <c r="BR11" s="535"/>
      <c r="BS11" s="529"/>
      <c r="BT11" s="530"/>
      <c r="BU11" s="530"/>
      <c r="BV11" s="530"/>
      <c r="BW11" s="530"/>
      <c r="BX11" s="530"/>
      <c r="BY11" s="530"/>
      <c r="BZ11" s="530"/>
      <c r="CA11" s="530"/>
      <c r="CB11" s="530"/>
      <c r="CC11" s="530"/>
      <c r="CD11" s="530"/>
      <c r="CE11" s="530"/>
      <c r="CF11" s="530"/>
      <c r="CG11" s="531"/>
    </row>
    <row r="12" spans="2:85">
      <c r="B12" s="535"/>
      <c r="C12" s="525"/>
      <c r="D12" s="525"/>
      <c r="E12" s="525"/>
      <c r="F12" s="525"/>
      <c r="G12" s="525"/>
      <c r="H12" s="525"/>
      <c r="I12" s="525"/>
      <c r="J12" s="525"/>
      <c r="K12" s="525"/>
      <c r="L12" s="525"/>
      <c r="M12" s="525"/>
      <c r="N12" s="525"/>
      <c r="O12" s="525"/>
      <c r="P12" s="525"/>
      <c r="Q12" s="525"/>
      <c r="S12" s="535"/>
      <c r="T12" s="529"/>
      <c r="U12" s="530"/>
      <c r="V12" s="530"/>
      <c r="W12" s="530"/>
      <c r="X12" s="530"/>
      <c r="Y12" s="530"/>
      <c r="Z12" s="530"/>
      <c r="AA12" s="530"/>
      <c r="AB12" s="530"/>
      <c r="AC12" s="530"/>
      <c r="AD12" s="530"/>
      <c r="AE12" s="530"/>
      <c r="AF12" s="530"/>
      <c r="AG12" s="530"/>
      <c r="AH12" s="531"/>
      <c r="AJ12" s="535"/>
      <c r="AK12" s="529"/>
      <c r="AL12" s="530"/>
      <c r="AM12" s="530"/>
      <c r="AN12" s="530"/>
      <c r="AO12" s="530"/>
      <c r="AP12" s="530"/>
      <c r="AQ12" s="530"/>
      <c r="AR12" s="530"/>
      <c r="AS12" s="530"/>
      <c r="AT12" s="530"/>
      <c r="AU12" s="530"/>
      <c r="AV12" s="530"/>
      <c r="AW12" s="530"/>
      <c r="AX12" s="530"/>
      <c r="AY12" s="531"/>
      <c r="BA12" s="535"/>
      <c r="BB12" s="529"/>
      <c r="BC12" s="530"/>
      <c r="BD12" s="530"/>
      <c r="BE12" s="530"/>
      <c r="BF12" s="530"/>
      <c r="BG12" s="530"/>
      <c r="BH12" s="530"/>
      <c r="BI12" s="530"/>
      <c r="BJ12" s="530"/>
      <c r="BK12" s="530"/>
      <c r="BL12" s="530"/>
      <c r="BM12" s="530"/>
      <c r="BN12" s="530"/>
      <c r="BO12" s="530"/>
      <c r="BP12" s="531"/>
      <c r="BR12" s="535"/>
      <c r="BS12" s="529"/>
      <c r="BT12" s="530"/>
      <c r="BU12" s="530"/>
      <c r="BV12" s="530"/>
      <c r="BW12" s="530"/>
      <c r="BX12" s="530"/>
      <c r="BY12" s="530"/>
      <c r="BZ12" s="530"/>
      <c r="CA12" s="530"/>
      <c r="CB12" s="530"/>
      <c r="CC12" s="530"/>
      <c r="CD12" s="530"/>
      <c r="CE12" s="530"/>
      <c r="CF12" s="530"/>
      <c r="CG12" s="531"/>
    </row>
    <row r="13" spans="2:85">
      <c r="B13" s="535"/>
      <c r="C13" s="525"/>
      <c r="D13" s="525"/>
      <c r="E13" s="525"/>
      <c r="F13" s="525"/>
      <c r="G13" s="525"/>
      <c r="H13" s="525"/>
      <c r="I13" s="525"/>
      <c r="J13" s="525"/>
      <c r="K13" s="525"/>
      <c r="L13" s="525"/>
      <c r="M13" s="525"/>
      <c r="N13" s="525"/>
      <c r="O13" s="525"/>
      <c r="P13" s="525"/>
      <c r="Q13" s="525"/>
      <c r="S13" s="535"/>
      <c r="T13" s="529"/>
      <c r="U13" s="530"/>
      <c r="V13" s="530"/>
      <c r="W13" s="530"/>
      <c r="X13" s="530"/>
      <c r="Y13" s="530"/>
      <c r="Z13" s="530"/>
      <c r="AA13" s="530"/>
      <c r="AB13" s="530"/>
      <c r="AC13" s="530"/>
      <c r="AD13" s="530"/>
      <c r="AE13" s="530"/>
      <c r="AF13" s="530"/>
      <c r="AG13" s="530"/>
      <c r="AH13" s="531"/>
      <c r="AJ13" s="535"/>
      <c r="AK13" s="529"/>
      <c r="AL13" s="530"/>
      <c r="AM13" s="530"/>
      <c r="AN13" s="530"/>
      <c r="AO13" s="530"/>
      <c r="AP13" s="530"/>
      <c r="AQ13" s="530"/>
      <c r="AR13" s="530"/>
      <c r="AS13" s="530"/>
      <c r="AT13" s="530"/>
      <c r="AU13" s="530"/>
      <c r="AV13" s="530"/>
      <c r="AW13" s="530"/>
      <c r="AX13" s="530"/>
      <c r="AY13" s="531"/>
      <c r="BA13" s="535"/>
      <c r="BB13" s="529"/>
      <c r="BC13" s="530"/>
      <c r="BD13" s="530"/>
      <c r="BE13" s="530"/>
      <c r="BF13" s="530"/>
      <c r="BG13" s="530"/>
      <c r="BH13" s="530"/>
      <c r="BI13" s="530"/>
      <c r="BJ13" s="530"/>
      <c r="BK13" s="530"/>
      <c r="BL13" s="530"/>
      <c r="BM13" s="530"/>
      <c r="BN13" s="530"/>
      <c r="BO13" s="530"/>
      <c r="BP13" s="531"/>
      <c r="BR13" s="535"/>
      <c r="BS13" s="529"/>
      <c r="BT13" s="530"/>
      <c r="BU13" s="530"/>
      <c r="BV13" s="530"/>
      <c r="BW13" s="530"/>
      <c r="BX13" s="530"/>
      <c r="BY13" s="530"/>
      <c r="BZ13" s="530"/>
      <c r="CA13" s="530"/>
      <c r="CB13" s="530"/>
      <c r="CC13" s="530"/>
      <c r="CD13" s="530"/>
      <c r="CE13" s="530"/>
      <c r="CF13" s="530"/>
      <c r="CG13" s="531"/>
    </row>
    <row r="14" spans="2:85">
      <c r="B14" s="535"/>
      <c r="C14" s="525"/>
      <c r="D14" s="525"/>
      <c r="E14" s="525"/>
      <c r="F14" s="525"/>
      <c r="G14" s="525"/>
      <c r="H14" s="525"/>
      <c r="I14" s="525"/>
      <c r="J14" s="525"/>
      <c r="K14" s="525"/>
      <c r="L14" s="525"/>
      <c r="M14" s="525"/>
      <c r="N14" s="525"/>
      <c r="O14" s="525"/>
      <c r="P14" s="525"/>
      <c r="Q14" s="525"/>
      <c r="S14" s="535"/>
      <c r="T14" s="529"/>
      <c r="U14" s="530"/>
      <c r="V14" s="530"/>
      <c r="W14" s="530"/>
      <c r="X14" s="530"/>
      <c r="Y14" s="530"/>
      <c r="Z14" s="530"/>
      <c r="AA14" s="530"/>
      <c r="AB14" s="530"/>
      <c r="AC14" s="530"/>
      <c r="AD14" s="530"/>
      <c r="AE14" s="530"/>
      <c r="AF14" s="530"/>
      <c r="AG14" s="530"/>
      <c r="AH14" s="531"/>
      <c r="AJ14" s="535"/>
      <c r="AK14" s="529"/>
      <c r="AL14" s="530"/>
      <c r="AM14" s="530"/>
      <c r="AN14" s="530"/>
      <c r="AO14" s="530"/>
      <c r="AP14" s="530"/>
      <c r="AQ14" s="530"/>
      <c r="AR14" s="530"/>
      <c r="AS14" s="530"/>
      <c r="AT14" s="530"/>
      <c r="AU14" s="530"/>
      <c r="AV14" s="530"/>
      <c r="AW14" s="530"/>
      <c r="AX14" s="530"/>
      <c r="AY14" s="531"/>
      <c r="BA14" s="535"/>
      <c r="BB14" s="529"/>
      <c r="BC14" s="530"/>
      <c r="BD14" s="530"/>
      <c r="BE14" s="530"/>
      <c r="BF14" s="530"/>
      <c r="BG14" s="530"/>
      <c r="BH14" s="530"/>
      <c r="BI14" s="530"/>
      <c r="BJ14" s="530"/>
      <c r="BK14" s="530"/>
      <c r="BL14" s="530"/>
      <c r="BM14" s="530"/>
      <c r="BN14" s="530"/>
      <c r="BO14" s="530"/>
      <c r="BP14" s="531"/>
      <c r="BR14" s="535"/>
      <c r="BS14" s="529"/>
      <c r="BT14" s="530"/>
      <c r="BU14" s="530"/>
      <c r="BV14" s="530"/>
      <c r="BW14" s="530"/>
      <c r="BX14" s="530"/>
      <c r="BY14" s="530"/>
      <c r="BZ14" s="530"/>
      <c r="CA14" s="530"/>
      <c r="CB14" s="530"/>
      <c r="CC14" s="530"/>
      <c r="CD14" s="530"/>
      <c r="CE14" s="530"/>
      <c r="CF14" s="530"/>
      <c r="CG14" s="531"/>
    </row>
    <row r="15" spans="2:85">
      <c r="B15" s="535"/>
      <c r="C15" s="525"/>
      <c r="D15" s="525"/>
      <c r="E15" s="525"/>
      <c r="F15" s="525"/>
      <c r="G15" s="525"/>
      <c r="H15" s="525"/>
      <c r="I15" s="525"/>
      <c r="J15" s="525"/>
      <c r="K15" s="525"/>
      <c r="L15" s="525"/>
      <c r="M15" s="525"/>
      <c r="N15" s="525"/>
      <c r="O15" s="525"/>
      <c r="P15" s="525"/>
      <c r="Q15" s="525"/>
      <c r="S15" s="535"/>
      <c r="T15" s="529"/>
      <c r="U15" s="530"/>
      <c r="V15" s="530"/>
      <c r="W15" s="530"/>
      <c r="X15" s="530"/>
      <c r="Y15" s="530"/>
      <c r="Z15" s="530"/>
      <c r="AA15" s="530"/>
      <c r="AB15" s="530"/>
      <c r="AC15" s="530"/>
      <c r="AD15" s="530"/>
      <c r="AE15" s="530"/>
      <c r="AF15" s="530"/>
      <c r="AG15" s="530"/>
      <c r="AH15" s="531"/>
      <c r="AJ15" s="535"/>
      <c r="AK15" s="529"/>
      <c r="AL15" s="530"/>
      <c r="AM15" s="530"/>
      <c r="AN15" s="530"/>
      <c r="AO15" s="530"/>
      <c r="AP15" s="530"/>
      <c r="AQ15" s="530"/>
      <c r="AR15" s="530"/>
      <c r="AS15" s="530"/>
      <c r="AT15" s="530"/>
      <c r="AU15" s="530"/>
      <c r="AV15" s="530"/>
      <c r="AW15" s="530"/>
      <c r="AX15" s="530"/>
      <c r="AY15" s="531"/>
      <c r="BA15" s="535"/>
      <c r="BB15" s="529"/>
      <c r="BC15" s="530"/>
      <c r="BD15" s="530"/>
      <c r="BE15" s="530"/>
      <c r="BF15" s="530"/>
      <c r="BG15" s="530"/>
      <c r="BH15" s="530"/>
      <c r="BI15" s="530"/>
      <c r="BJ15" s="530"/>
      <c r="BK15" s="530"/>
      <c r="BL15" s="530"/>
      <c r="BM15" s="530"/>
      <c r="BN15" s="530"/>
      <c r="BO15" s="530"/>
      <c r="BP15" s="531"/>
      <c r="BR15" s="535"/>
      <c r="BS15" s="529"/>
      <c r="BT15" s="530"/>
      <c r="BU15" s="530"/>
      <c r="BV15" s="530"/>
      <c r="BW15" s="530"/>
      <c r="BX15" s="530"/>
      <c r="BY15" s="530"/>
      <c r="BZ15" s="530"/>
      <c r="CA15" s="530"/>
      <c r="CB15" s="530"/>
      <c r="CC15" s="530"/>
      <c r="CD15" s="530"/>
      <c r="CE15" s="530"/>
      <c r="CF15" s="530"/>
      <c r="CG15" s="531"/>
    </row>
    <row r="16" spans="2:85">
      <c r="B16" s="535"/>
      <c r="C16" s="525"/>
      <c r="D16" s="525"/>
      <c r="E16" s="525"/>
      <c r="F16" s="525"/>
      <c r="G16" s="525"/>
      <c r="H16" s="525"/>
      <c r="I16" s="525"/>
      <c r="J16" s="525"/>
      <c r="K16" s="525"/>
      <c r="L16" s="525"/>
      <c r="M16" s="525"/>
      <c r="N16" s="525"/>
      <c r="O16" s="525"/>
      <c r="P16" s="525"/>
      <c r="Q16" s="525"/>
      <c r="S16" s="535"/>
      <c r="T16" s="529"/>
      <c r="U16" s="530"/>
      <c r="V16" s="530"/>
      <c r="W16" s="530"/>
      <c r="X16" s="530"/>
      <c r="Y16" s="530"/>
      <c r="Z16" s="530"/>
      <c r="AA16" s="530"/>
      <c r="AB16" s="530"/>
      <c r="AC16" s="530"/>
      <c r="AD16" s="530"/>
      <c r="AE16" s="530"/>
      <c r="AF16" s="530"/>
      <c r="AG16" s="530"/>
      <c r="AH16" s="531"/>
      <c r="AJ16" s="535"/>
      <c r="AK16" s="529"/>
      <c r="AL16" s="530"/>
      <c r="AM16" s="530"/>
      <c r="AN16" s="530"/>
      <c r="AO16" s="530"/>
      <c r="AP16" s="530"/>
      <c r="AQ16" s="530"/>
      <c r="AR16" s="530"/>
      <c r="AS16" s="530"/>
      <c r="AT16" s="530"/>
      <c r="AU16" s="530"/>
      <c r="AV16" s="530"/>
      <c r="AW16" s="530"/>
      <c r="AX16" s="530"/>
      <c r="AY16" s="531"/>
      <c r="BA16" s="535"/>
      <c r="BB16" s="529"/>
      <c r="BC16" s="530"/>
      <c r="BD16" s="530"/>
      <c r="BE16" s="530"/>
      <c r="BF16" s="530"/>
      <c r="BG16" s="530"/>
      <c r="BH16" s="530"/>
      <c r="BI16" s="530"/>
      <c r="BJ16" s="530"/>
      <c r="BK16" s="530"/>
      <c r="BL16" s="530"/>
      <c r="BM16" s="530"/>
      <c r="BN16" s="530"/>
      <c r="BO16" s="530"/>
      <c r="BP16" s="531"/>
      <c r="BR16" s="535"/>
      <c r="BS16" s="529"/>
      <c r="BT16" s="530"/>
      <c r="BU16" s="530"/>
      <c r="BV16" s="530"/>
      <c r="BW16" s="530"/>
      <c r="BX16" s="530"/>
      <c r="BY16" s="530"/>
      <c r="BZ16" s="530"/>
      <c r="CA16" s="530"/>
      <c r="CB16" s="530"/>
      <c r="CC16" s="530"/>
      <c r="CD16" s="530"/>
      <c r="CE16" s="530"/>
      <c r="CF16" s="530"/>
      <c r="CG16" s="531"/>
    </row>
    <row r="17" spans="2:85">
      <c r="B17" s="535"/>
      <c r="C17" s="525"/>
      <c r="D17" s="525"/>
      <c r="E17" s="525"/>
      <c r="F17" s="525"/>
      <c r="G17" s="525"/>
      <c r="H17" s="525"/>
      <c r="I17" s="525"/>
      <c r="J17" s="525"/>
      <c r="K17" s="525"/>
      <c r="L17" s="525"/>
      <c r="M17" s="525"/>
      <c r="N17" s="525"/>
      <c r="O17" s="525"/>
      <c r="P17" s="525"/>
      <c r="Q17" s="525"/>
      <c r="S17" s="535"/>
      <c r="T17" s="529"/>
      <c r="U17" s="530"/>
      <c r="V17" s="530"/>
      <c r="W17" s="530"/>
      <c r="X17" s="530"/>
      <c r="Y17" s="530"/>
      <c r="Z17" s="530"/>
      <c r="AA17" s="530"/>
      <c r="AB17" s="530"/>
      <c r="AC17" s="530"/>
      <c r="AD17" s="530"/>
      <c r="AE17" s="530"/>
      <c r="AF17" s="530"/>
      <c r="AG17" s="530"/>
      <c r="AH17" s="531"/>
      <c r="AJ17" s="535"/>
      <c r="AK17" s="529"/>
      <c r="AL17" s="530"/>
      <c r="AM17" s="530"/>
      <c r="AN17" s="530"/>
      <c r="AO17" s="530"/>
      <c r="AP17" s="530"/>
      <c r="AQ17" s="530"/>
      <c r="AR17" s="530"/>
      <c r="AS17" s="530"/>
      <c r="AT17" s="530"/>
      <c r="AU17" s="530"/>
      <c r="AV17" s="530"/>
      <c r="AW17" s="530"/>
      <c r="AX17" s="530"/>
      <c r="AY17" s="531"/>
      <c r="BA17" s="535"/>
      <c r="BB17" s="529"/>
      <c r="BC17" s="530"/>
      <c r="BD17" s="530"/>
      <c r="BE17" s="530"/>
      <c r="BF17" s="530"/>
      <c r="BG17" s="530"/>
      <c r="BH17" s="530"/>
      <c r="BI17" s="530"/>
      <c r="BJ17" s="530"/>
      <c r="BK17" s="530"/>
      <c r="BL17" s="530"/>
      <c r="BM17" s="530"/>
      <c r="BN17" s="530"/>
      <c r="BO17" s="530"/>
      <c r="BP17" s="531"/>
      <c r="BR17" s="535"/>
      <c r="BS17" s="529"/>
      <c r="BT17" s="530"/>
      <c r="BU17" s="530"/>
      <c r="BV17" s="530"/>
      <c r="BW17" s="530"/>
      <c r="BX17" s="530"/>
      <c r="BY17" s="530"/>
      <c r="BZ17" s="530"/>
      <c r="CA17" s="530"/>
      <c r="CB17" s="530"/>
      <c r="CC17" s="530"/>
      <c r="CD17" s="530"/>
      <c r="CE17" s="530"/>
      <c r="CF17" s="530"/>
      <c r="CG17" s="531"/>
    </row>
    <row r="18" spans="2:85">
      <c r="B18" s="535"/>
      <c r="C18" s="525"/>
      <c r="D18" s="525"/>
      <c r="E18" s="525"/>
      <c r="F18" s="525"/>
      <c r="G18" s="525"/>
      <c r="H18" s="525"/>
      <c r="I18" s="525"/>
      <c r="J18" s="525"/>
      <c r="K18" s="525"/>
      <c r="L18" s="525"/>
      <c r="M18" s="525"/>
      <c r="N18" s="525"/>
      <c r="O18" s="525"/>
      <c r="P18" s="525"/>
      <c r="Q18" s="525"/>
      <c r="S18" s="535"/>
      <c r="T18" s="529"/>
      <c r="U18" s="530"/>
      <c r="V18" s="530"/>
      <c r="W18" s="530"/>
      <c r="X18" s="530"/>
      <c r="Y18" s="530"/>
      <c r="Z18" s="530"/>
      <c r="AA18" s="530"/>
      <c r="AB18" s="530"/>
      <c r="AC18" s="530"/>
      <c r="AD18" s="530"/>
      <c r="AE18" s="530"/>
      <c r="AF18" s="530"/>
      <c r="AG18" s="530"/>
      <c r="AH18" s="531"/>
      <c r="AJ18" s="535"/>
      <c r="AK18" s="529"/>
      <c r="AL18" s="530"/>
      <c r="AM18" s="530"/>
      <c r="AN18" s="530"/>
      <c r="AO18" s="530"/>
      <c r="AP18" s="530"/>
      <c r="AQ18" s="530"/>
      <c r="AR18" s="530"/>
      <c r="AS18" s="530"/>
      <c r="AT18" s="530"/>
      <c r="AU18" s="530"/>
      <c r="AV18" s="530"/>
      <c r="AW18" s="530"/>
      <c r="AX18" s="530"/>
      <c r="AY18" s="531"/>
      <c r="BA18" s="535"/>
      <c r="BB18" s="529"/>
      <c r="BC18" s="530"/>
      <c r="BD18" s="530"/>
      <c r="BE18" s="530"/>
      <c r="BF18" s="530"/>
      <c r="BG18" s="530"/>
      <c r="BH18" s="530"/>
      <c r="BI18" s="530"/>
      <c r="BJ18" s="530"/>
      <c r="BK18" s="530"/>
      <c r="BL18" s="530"/>
      <c r="BM18" s="530"/>
      <c r="BN18" s="530"/>
      <c r="BO18" s="530"/>
      <c r="BP18" s="531"/>
      <c r="BR18" s="535"/>
      <c r="BS18" s="529"/>
      <c r="BT18" s="530"/>
      <c r="BU18" s="530"/>
      <c r="BV18" s="530"/>
      <c r="BW18" s="530"/>
      <c r="BX18" s="530"/>
      <c r="BY18" s="530"/>
      <c r="BZ18" s="530"/>
      <c r="CA18" s="530"/>
      <c r="CB18" s="530"/>
      <c r="CC18" s="530"/>
      <c r="CD18" s="530"/>
      <c r="CE18" s="530"/>
      <c r="CF18" s="530"/>
      <c r="CG18" s="531"/>
    </row>
    <row r="19" spans="2:85">
      <c r="B19" s="535"/>
      <c r="C19" s="525"/>
      <c r="D19" s="525"/>
      <c r="E19" s="525"/>
      <c r="F19" s="525"/>
      <c r="G19" s="525"/>
      <c r="H19" s="525"/>
      <c r="I19" s="525"/>
      <c r="J19" s="525"/>
      <c r="K19" s="525"/>
      <c r="L19" s="525"/>
      <c r="M19" s="525"/>
      <c r="N19" s="525"/>
      <c r="O19" s="525"/>
      <c r="P19" s="525"/>
      <c r="Q19" s="525"/>
      <c r="S19" s="535"/>
      <c r="T19" s="529"/>
      <c r="U19" s="530"/>
      <c r="V19" s="530"/>
      <c r="W19" s="530"/>
      <c r="X19" s="530"/>
      <c r="Y19" s="530"/>
      <c r="Z19" s="530"/>
      <c r="AA19" s="530"/>
      <c r="AB19" s="530"/>
      <c r="AC19" s="530"/>
      <c r="AD19" s="530"/>
      <c r="AE19" s="530"/>
      <c r="AF19" s="530"/>
      <c r="AG19" s="530"/>
      <c r="AH19" s="531"/>
      <c r="AJ19" s="535"/>
      <c r="AK19" s="529"/>
      <c r="AL19" s="530"/>
      <c r="AM19" s="530"/>
      <c r="AN19" s="530"/>
      <c r="AO19" s="530"/>
      <c r="AP19" s="530"/>
      <c r="AQ19" s="530"/>
      <c r="AR19" s="530"/>
      <c r="AS19" s="530"/>
      <c r="AT19" s="530"/>
      <c r="AU19" s="530"/>
      <c r="AV19" s="530"/>
      <c r="AW19" s="530"/>
      <c r="AX19" s="530"/>
      <c r="AY19" s="531"/>
      <c r="BA19" s="535"/>
      <c r="BB19" s="529"/>
      <c r="BC19" s="530"/>
      <c r="BD19" s="530"/>
      <c r="BE19" s="530"/>
      <c r="BF19" s="530"/>
      <c r="BG19" s="530"/>
      <c r="BH19" s="530"/>
      <c r="BI19" s="530"/>
      <c r="BJ19" s="530"/>
      <c r="BK19" s="530"/>
      <c r="BL19" s="530"/>
      <c r="BM19" s="530"/>
      <c r="BN19" s="530"/>
      <c r="BO19" s="530"/>
      <c r="BP19" s="531"/>
      <c r="BR19" s="535"/>
      <c r="BS19" s="529"/>
      <c r="BT19" s="530"/>
      <c r="BU19" s="530"/>
      <c r="BV19" s="530"/>
      <c r="BW19" s="530"/>
      <c r="BX19" s="530"/>
      <c r="BY19" s="530"/>
      <c r="BZ19" s="530"/>
      <c r="CA19" s="530"/>
      <c r="CB19" s="530"/>
      <c r="CC19" s="530"/>
      <c r="CD19" s="530"/>
      <c r="CE19" s="530"/>
      <c r="CF19" s="530"/>
      <c r="CG19" s="531"/>
    </row>
    <row r="20" spans="2:85">
      <c r="B20" s="535"/>
      <c r="C20" s="525"/>
      <c r="D20" s="525"/>
      <c r="E20" s="525"/>
      <c r="F20" s="525"/>
      <c r="G20" s="525"/>
      <c r="H20" s="525"/>
      <c r="I20" s="525"/>
      <c r="J20" s="525"/>
      <c r="K20" s="525"/>
      <c r="L20" s="525"/>
      <c r="M20" s="525"/>
      <c r="N20" s="525"/>
      <c r="O20" s="525"/>
      <c r="P20" s="525"/>
      <c r="Q20" s="525"/>
      <c r="S20" s="535"/>
      <c r="T20" s="529"/>
      <c r="U20" s="530"/>
      <c r="V20" s="530"/>
      <c r="W20" s="530"/>
      <c r="X20" s="530"/>
      <c r="Y20" s="530"/>
      <c r="Z20" s="530"/>
      <c r="AA20" s="530"/>
      <c r="AB20" s="530"/>
      <c r="AC20" s="530"/>
      <c r="AD20" s="530"/>
      <c r="AE20" s="530"/>
      <c r="AF20" s="530"/>
      <c r="AG20" s="530"/>
      <c r="AH20" s="531"/>
      <c r="AJ20" s="535"/>
      <c r="AK20" s="529"/>
      <c r="AL20" s="530"/>
      <c r="AM20" s="530"/>
      <c r="AN20" s="530"/>
      <c r="AO20" s="530"/>
      <c r="AP20" s="530"/>
      <c r="AQ20" s="530"/>
      <c r="AR20" s="530"/>
      <c r="AS20" s="530"/>
      <c r="AT20" s="530"/>
      <c r="AU20" s="530"/>
      <c r="AV20" s="530"/>
      <c r="AW20" s="530"/>
      <c r="AX20" s="530"/>
      <c r="AY20" s="531"/>
      <c r="BA20" s="535"/>
      <c r="BB20" s="529"/>
      <c r="BC20" s="530"/>
      <c r="BD20" s="530"/>
      <c r="BE20" s="530"/>
      <c r="BF20" s="530"/>
      <c r="BG20" s="530"/>
      <c r="BH20" s="530"/>
      <c r="BI20" s="530"/>
      <c r="BJ20" s="530"/>
      <c r="BK20" s="530"/>
      <c r="BL20" s="530"/>
      <c r="BM20" s="530"/>
      <c r="BN20" s="530"/>
      <c r="BO20" s="530"/>
      <c r="BP20" s="531"/>
      <c r="BR20" s="535"/>
      <c r="BS20" s="529"/>
      <c r="BT20" s="530"/>
      <c r="BU20" s="530"/>
      <c r="BV20" s="530"/>
      <c r="BW20" s="530"/>
      <c r="BX20" s="530"/>
      <c r="BY20" s="530"/>
      <c r="BZ20" s="530"/>
      <c r="CA20" s="530"/>
      <c r="CB20" s="530"/>
      <c r="CC20" s="530"/>
      <c r="CD20" s="530"/>
      <c r="CE20" s="530"/>
      <c r="CF20" s="530"/>
      <c r="CG20" s="531"/>
    </row>
    <row r="21" spans="2:85">
      <c r="B21" s="535"/>
      <c r="C21" s="525"/>
      <c r="D21" s="525"/>
      <c r="E21" s="525"/>
      <c r="F21" s="525"/>
      <c r="G21" s="525"/>
      <c r="H21" s="525"/>
      <c r="I21" s="525"/>
      <c r="J21" s="525"/>
      <c r="K21" s="525"/>
      <c r="L21" s="525"/>
      <c r="M21" s="525"/>
      <c r="N21" s="525"/>
      <c r="O21" s="525"/>
      <c r="P21" s="525"/>
      <c r="Q21" s="525"/>
      <c r="S21" s="535"/>
      <c r="T21" s="529"/>
      <c r="U21" s="530"/>
      <c r="V21" s="530"/>
      <c r="W21" s="530"/>
      <c r="X21" s="530"/>
      <c r="Y21" s="530"/>
      <c r="Z21" s="530"/>
      <c r="AA21" s="530"/>
      <c r="AB21" s="530"/>
      <c r="AC21" s="530"/>
      <c r="AD21" s="530"/>
      <c r="AE21" s="530"/>
      <c r="AF21" s="530"/>
      <c r="AG21" s="530"/>
      <c r="AH21" s="531"/>
      <c r="AJ21" s="535"/>
      <c r="AK21" s="529"/>
      <c r="AL21" s="530"/>
      <c r="AM21" s="530"/>
      <c r="AN21" s="530"/>
      <c r="AO21" s="530"/>
      <c r="AP21" s="530"/>
      <c r="AQ21" s="530"/>
      <c r="AR21" s="530"/>
      <c r="AS21" s="530"/>
      <c r="AT21" s="530"/>
      <c r="AU21" s="530"/>
      <c r="AV21" s="530"/>
      <c r="AW21" s="530"/>
      <c r="AX21" s="530"/>
      <c r="AY21" s="531"/>
      <c r="BA21" s="535"/>
      <c r="BB21" s="529"/>
      <c r="BC21" s="530"/>
      <c r="BD21" s="530"/>
      <c r="BE21" s="530"/>
      <c r="BF21" s="530"/>
      <c r="BG21" s="530"/>
      <c r="BH21" s="530"/>
      <c r="BI21" s="530"/>
      <c r="BJ21" s="530"/>
      <c r="BK21" s="530"/>
      <c r="BL21" s="530"/>
      <c r="BM21" s="530"/>
      <c r="BN21" s="530"/>
      <c r="BO21" s="530"/>
      <c r="BP21" s="531"/>
      <c r="BR21" s="535"/>
      <c r="BS21" s="529"/>
      <c r="BT21" s="530"/>
      <c r="BU21" s="530"/>
      <c r="BV21" s="530"/>
      <c r="BW21" s="530"/>
      <c r="BX21" s="530"/>
      <c r="BY21" s="530"/>
      <c r="BZ21" s="530"/>
      <c r="CA21" s="530"/>
      <c r="CB21" s="530"/>
      <c r="CC21" s="530"/>
      <c r="CD21" s="530"/>
      <c r="CE21" s="530"/>
      <c r="CF21" s="530"/>
      <c r="CG21" s="531"/>
    </row>
    <row r="22" spans="2:85">
      <c r="B22" s="535"/>
      <c r="C22" s="525"/>
      <c r="D22" s="525"/>
      <c r="E22" s="525"/>
      <c r="F22" s="525"/>
      <c r="G22" s="525"/>
      <c r="H22" s="525"/>
      <c r="I22" s="525"/>
      <c r="J22" s="525"/>
      <c r="K22" s="525"/>
      <c r="L22" s="525"/>
      <c r="M22" s="525"/>
      <c r="N22" s="525"/>
      <c r="O22" s="525"/>
      <c r="P22" s="525"/>
      <c r="Q22" s="525"/>
      <c r="S22" s="535"/>
      <c r="T22" s="529"/>
      <c r="U22" s="530"/>
      <c r="V22" s="530"/>
      <c r="W22" s="530"/>
      <c r="X22" s="530"/>
      <c r="Y22" s="530"/>
      <c r="Z22" s="530"/>
      <c r="AA22" s="530"/>
      <c r="AB22" s="530"/>
      <c r="AC22" s="530"/>
      <c r="AD22" s="530"/>
      <c r="AE22" s="530"/>
      <c r="AF22" s="530"/>
      <c r="AG22" s="530"/>
      <c r="AH22" s="531"/>
      <c r="AJ22" s="535"/>
      <c r="AK22" s="529"/>
      <c r="AL22" s="530"/>
      <c r="AM22" s="530"/>
      <c r="AN22" s="530"/>
      <c r="AO22" s="530"/>
      <c r="AP22" s="530"/>
      <c r="AQ22" s="530"/>
      <c r="AR22" s="530"/>
      <c r="AS22" s="530"/>
      <c r="AT22" s="530"/>
      <c r="AU22" s="530"/>
      <c r="AV22" s="530"/>
      <c r="AW22" s="530"/>
      <c r="AX22" s="530"/>
      <c r="AY22" s="531"/>
      <c r="BA22" s="535"/>
      <c r="BB22" s="529"/>
      <c r="BC22" s="530"/>
      <c r="BD22" s="530"/>
      <c r="BE22" s="530"/>
      <c r="BF22" s="530"/>
      <c r="BG22" s="530"/>
      <c r="BH22" s="530"/>
      <c r="BI22" s="530"/>
      <c r="BJ22" s="530"/>
      <c r="BK22" s="530"/>
      <c r="BL22" s="530"/>
      <c r="BM22" s="530"/>
      <c r="BN22" s="530"/>
      <c r="BO22" s="530"/>
      <c r="BP22" s="531"/>
      <c r="BR22" s="535"/>
      <c r="BS22" s="529"/>
      <c r="BT22" s="530"/>
      <c r="BU22" s="530"/>
      <c r="BV22" s="530"/>
      <c r="BW22" s="530"/>
      <c r="BX22" s="530"/>
      <c r="BY22" s="530"/>
      <c r="BZ22" s="530"/>
      <c r="CA22" s="530"/>
      <c r="CB22" s="530"/>
      <c r="CC22" s="530"/>
      <c r="CD22" s="530"/>
      <c r="CE22" s="530"/>
      <c r="CF22" s="530"/>
      <c r="CG22" s="531"/>
    </row>
    <row r="23" spans="2:85">
      <c r="B23" s="535"/>
      <c r="C23" s="525"/>
      <c r="D23" s="525"/>
      <c r="E23" s="525"/>
      <c r="F23" s="525"/>
      <c r="G23" s="525"/>
      <c r="H23" s="525"/>
      <c r="I23" s="525"/>
      <c r="J23" s="525"/>
      <c r="K23" s="525"/>
      <c r="L23" s="525"/>
      <c r="M23" s="525"/>
      <c r="N23" s="525"/>
      <c r="O23" s="525"/>
      <c r="P23" s="525"/>
      <c r="Q23" s="525"/>
      <c r="S23" s="535"/>
      <c r="T23" s="529"/>
      <c r="U23" s="530"/>
      <c r="V23" s="530"/>
      <c r="W23" s="530"/>
      <c r="X23" s="530"/>
      <c r="Y23" s="530"/>
      <c r="Z23" s="530"/>
      <c r="AA23" s="530"/>
      <c r="AB23" s="530"/>
      <c r="AC23" s="530"/>
      <c r="AD23" s="530"/>
      <c r="AE23" s="530"/>
      <c r="AF23" s="530"/>
      <c r="AG23" s="530"/>
      <c r="AH23" s="531"/>
      <c r="AJ23" s="535"/>
      <c r="AK23" s="529"/>
      <c r="AL23" s="530"/>
      <c r="AM23" s="530"/>
      <c r="AN23" s="530"/>
      <c r="AO23" s="530"/>
      <c r="AP23" s="530"/>
      <c r="AQ23" s="530"/>
      <c r="AR23" s="530"/>
      <c r="AS23" s="530"/>
      <c r="AT23" s="530"/>
      <c r="AU23" s="530"/>
      <c r="AV23" s="530"/>
      <c r="AW23" s="530"/>
      <c r="AX23" s="530"/>
      <c r="AY23" s="531"/>
      <c r="BA23" s="535"/>
      <c r="BB23" s="529"/>
      <c r="BC23" s="530"/>
      <c r="BD23" s="530"/>
      <c r="BE23" s="530"/>
      <c r="BF23" s="530"/>
      <c r="BG23" s="530"/>
      <c r="BH23" s="530"/>
      <c r="BI23" s="530"/>
      <c r="BJ23" s="530"/>
      <c r="BK23" s="530"/>
      <c r="BL23" s="530"/>
      <c r="BM23" s="530"/>
      <c r="BN23" s="530"/>
      <c r="BO23" s="530"/>
      <c r="BP23" s="531"/>
      <c r="BR23" s="535"/>
      <c r="BS23" s="529"/>
      <c r="BT23" s="530"/>
      <c r="BU23" s="530"/>
      <c r="BV23" s="530"/>
      <c r="BW23" s="530"/>
      <c r="BX23" s="530"/>
      <c r="BY23" s="530"/>
      <c r="BZ23" s="530"/>
      <c r="CA23" s="530"/>
      <c r="CB23" s="530"/>
      <c r="CC23" s="530"/>
      <c r="CD23" s="530"/>
      <c r="CE23" s="530"/>
      <c r="CF23" s="530"/>
      <c r="CG23" s="531"/>
    </row>
    <row r="24" spans="2:85" ht="35.25" customHeight="1">
      <c r="B24" s="535"/>
      <c r="C24" s="525"/>
      <c r="D24" s="525"/>
      <c r="E24" s="525"/>
      <c r="F24" s="525"/>
      <c r="G24" s="525"/>
      <c r="H24" s="525"/>
      <c r="I24" s="525"/>
      <c r="J24" s="525"/>
      <c r="K24" s="525"/>
      <c r="L24" s="525"/>
      <c r="M24" s="525"/>
      <c r="N24" s="525"/>
      <c r="O24" s="525"/>
      <c r="P24" s="525"/>
      <c r="Q24" s="525"/>
      <c r="S24" s="535"/>
      <c r="T24" s="532"/>
      <c r="U24" s="533"/>
      <c r="V24" s="533"/>
      <c r="W24" s="533"/>
      <c r="X24" s="533"/>
      <c r="Y24" s="533"/>
      <c r="Z24" s="533"/>
      <c r="AA24" s="533"/>
      <c r="AB24" s="533"/>
      <c r="AC24" s="533"/>
      <c r="AD24" s="533"/>
      <c r="AE24" s="533"/>
      <c r="AF24" s="533"/>
      <c r="AG24" s="533"/>
      <c r="AH24" s="534"/>
      <c r="AJ24" s="535"/>
      <c r="AK24" s="532"/>
      <c r="AL24" s="533"/>
      <c r="AM24" s="533"/>
      <c r="AN24" s="533"/>
      <c r="AO24" s="533"/>
      <c r="AP24" s="533"/>
      <c r="AQ24" s="533"/>
      <c r="AR24" s="533"/>
      <c r="AS24" s="533"/>
      <c r="AT24" s="533"/>
      <c r="AU24" s="533"/>
      <c r="AV24" s="533"/>
      <c r="AW24" s="533"/>
      <c r="AX24" s="533"/>
      <c r="AY24" s="534"/>
      <c r="BA24" s="535"/>
      <c r="BB24" s="532"/>
      <c r="BC24" s="533"/>
      <c r="BD24" s="533"/>
      <c r="BE24" s="533"/>
      <c r="BF24" s="533"/>
      <c r="BG24" s="533"/>
      <c r="BH24" s="533"/>
      <c r="BI24" s="533"/>
      <c r="BJ24" s="533"/>
      <c r="BK24" s="533"/>
      <c r="BL24" s="533"/>
      <c r="BM24" s="533"/>
      <c r="BN24" s="533"/>
      <c r="BO24" s="533"/>
      <c r="BP24" s="534"/>
      <c r="BR24" s="535"/>
      <c r="BS24" s="532"/>
      <c r="BT24" s="533"/>
      <c r="BU24" s="533"/>
      <c r="BV24" s="533"/>
      <c r="BW24" s="533"/>
      <c r="BX24" s="533"/>
      <c r="BY24" s="533"/>
      <c r="BZ24" s="533"/>
      <c r="CA24" s="533"/>
      <c r="CB24" s="533"/>
      <c r="CC24" s="533"/>
      <c r="CD24" s="533"/>
      <c r="CE24" s="533"/>
      <c r="CF24" s="533"/>
      <c r="CG24" s="534"/>
    </row>
    <row r="25" spans="2:85">
      <c r="B25" s="330"/>
      <c r="C25" s="331"/>
      <c r="D25" s="331"/>
      <c r="E25" s="331"/>
      <c r="F25" s="331"/>
      <c r="G25" s="331"/>
      <c r="H25" s="331"/>
      <c r="I25" s="331"/>
      <c r="J25" s="331"/>
      <c r="K25" s="331"/>
      <c r="L25" s="331"/>
      <c r="M25" s="331"/>
      <c r="N25" s="331"/>
      <c r="O25" s="331"/>
      <c r="P25" s="331"/>
      <c r="Q25" s="331"/>
    </row>
    <row r="26" spans="2:85" ht="21.75" customHeight="1"/>
    <row r="27" spans="2:85" ht="31.5" customHeight="1">
      <c r="B27" s="520" t="s">
        <v>106</v>
      </c>
      <c r="C27" s="522"/>
      <c r="D27" s="514" t="s">
        <v>96</v>
      </c>
      <c r="E27" s="515"/>
      <c r="F27" s="514" t="s">
        <v>102</v>
      </c>
      <c r="G27" s="515"/>
      <c r="H27" s="514" t="s">
        <v>103</v>
      </c>
      <c r="I27" s="515"/>
      <c r="J27" s="514" t="s">
        <v>104</v>
      </c>
      <c r="K27" s="515"/>
      <c r="L27" s="514" t="s">
        <v>107</v>
      </c>
      <c r="M27" s="515"/>
      <c r="N27" s="516" t="s">
        <v>6</v>
      </c>
      <c r="O27" s="517"/>
      <c r="P27" s="333"/>
      <c r="Q27" s="334"/>
    </row>
    <row r="28" spans="2:85" ht="31.5" customHeight="1">
      <c r="B28" s="520"/>
      <c r="C28" s="522"/>
      <c r="D28" s="319" t="s">
        <v>97</v>
      </c>
      <c r="E28" s="319" t="s">
        <v>98</v>
      </c>
      <c r="F28" s="319" t="s">
        <v>97</v>
      </c>
      <c r="G28" s="319" t="s">
        <v>98</v>
      </c>
      <c r="H28" s="319" t="s">
        <v>97</v>
      </c>
      <c r="I28" s="319" t="s">
        <v>98</v>
      </c>
      <c r="J28" s="319" t="s">
        <v>97</v>
      </c>
      <c r="K28" s="319" t="s">
        <v>98</v>
      </c>
      <c r="L28" s="319" t="s">
        <v>97</v>
      </c>
      <c r="M28" s="319" t="s">
        <v>98</v>
      </c>
      <c r="N28" s="319" t="s">
        <v>97</v>
      </c>
      <c r="O28" s="319" t="s">
        <v>98</v>
      </c>
      <c r="P28" s="335"/>
      <c r="Q28" s="336"/>
    </row>
    <row r="29" spans="2:85" ht="31.5" customHeight="1">
      <c r="B29" s="520"/>
      <c r="C29" s="320" t="s">
        <v>11</v>
      </c>
      <c r="D29" s="321">
        <f>P5</f>
        <v>1510</v>
      </c>
      <c r="E29" s="337">
        <f>D29/D32</f>
        <v>0.97671410090556277</v>
      </c>
      <c r="F29" s="321">
        <f>AG5</f>
        <v>1826</v>
      </c>
      <c r="G29" s="322">
        <f>F29/F32</f>
        <v>0.98863021115322147</v>
      </c>
      <c r="H29" s="321">
        <f>AX5</f>
        <v>0</v>
      </c>
      <c r="I29" s="322" t="e">
        <f>H29/H32</f>
        <v>#DIV/0!</v>
      </c>
      <c r="J29" s="321">
        <f>BO5</f>
        <v>0</v>
      </c>
      <c r="K29" s="322" t="e">
        <f>J29/J32</f>
        <v>#DIV/0!</v>
      </c>
      <c r="L29" s="321">
        <f>CF5</f>
        <v>0</v>
      </c>
      <c r="M29" s="322" t="e">
        <f>L29/L32</f>
        <v>#DIV/0!</v>
      </c>
      <c r="N29" s="321">
        <f>SUM(D29,F29,H29,J29,J29)</f>
        <v>3336</v>
      </c>
      <c r="O29" s="322">
        <f>N29/N32</f>
        <v>0.9832007073386384</v>
      </c>
      <c r="P29" s="338"/>
      <c r="Q29" s="339"/>
    </row>
    <row r="30" spans="2:85" ht="31.5" customHeight="1">
      <c r="B30" s="520"/>
      <c r="C30" s="320" t="s">
        <v>99</v>
      </c>
      <c r="D30" s="321">
        <f>P6</f>
        <v>0</v>
      </c>
      <c r="E30" s="337">
        <f>D30/D32</f>
        <v>0</v>
      </c>
      <c r="F30" s="321">
        <f>AG6</f>
        <v>0</v>
      </c>
      <c r="G30" s="322">
        <f>F30/F32</f>
        <v>0</v>
      </c>
      <c r="H30" s="321">
        <f>AX6</f>
        <v>0</v>
      </c>
      <c r="I30" s="322" t="e">
        <f>H30/H32</f>
        <v>#DIV/0!</v>
      </c>
      <c r="J30" s="321">
        <f>BO6</f>
        <v>0</v>
      </c>
      <c r="K30" s="322" t="e">
        <f>J30/J32</f>
        <v>#DIV/0!</v>
      </c>
      <c r="L30" s="321">
        <f>CF6</f>
        <v>0</v>
      </c>
      <c r="M30" s="322" t="e">
        <f>L30/L32</f>
        <v>#DIV/0!</v>
      </c>
      <c r="N30" s="321">
        <f>SUM(D30,F30,H30,J30,J30)</f>
        <v>0</v>
      </c>
      <c r="O30" s="322">
        <f>N30/N32</f>
        <v>0</v>
      </c>
      <c r="P30" s="338"/>
      <c r="Q30" s="339"/>
    </row>
    <row r="31" spans="2:85" ht="31.5" customHeight="1">
      <c r="B31" s="520"/>
      <c r="C31" s="320" t="s">
        <v>100</v>
      </c>
      <c r="D31" s="321">
        <f>P7</f>
        <v>36</v>
      </c>
      <c r="E31" s="337">
        <f>D31/D32</f>
        <v>2.3285899094437259E-2</v>
      </c>
      <c r="F31" s="321">
        <f>AG7</f>
        <v>21</v>
      </c>
      <c r="G31" s="322">
        <f>F31/F32</f>
        <v>1.1369788846778559E-2</v>
      </c>
      <c r="H31" s="321">
        <f>AX7</f>
        <v>0</v>
      </c>
      <c r="I31" s="322" t="e">
        <f>H31/H32</f>
        <v>#DIV/0!</v>
      </c>
      <c r="J31" s="321">
        <f>BO7</f>
        <v>0</v>
      </c>
      <c r="K31" s="322" t="e">
        <f>J31/J32</f>
        <v>#DIV/0!</v>
      </c>
      <c r="L31" s="321">
        <f>CF7</f>
        <v>0</v>
      </c>
      <c r="M31" s="322" t="e">
        <f>L31/L32</f>
        <v>#DIV/0!</v>
      </c>
      <c r="N31" s="321">
        <f>SUM(D31,F31,H31,J31,J31)</f>
        <v>57</v>
      </c>
      <c r="O31" s="322">
        <f>N31/N32</f>
        <v>1.6799292661361626E-2</v>
      </c>
      <c r="P31" s="338"/>
      <c r="Q31" s="339"/>
    </row>
    <row r="32" spans="2:85" ht="29">
      <c r="B32" s="520"/>
      <c r="C32" s="325" t="s">
        <v>101</v>
      </c>
      <c r="D32" s="518">
        <f>SUM(D29:D31)</f>
        <v>1546</v>
      </c>
      <c r="E32" s="519"/>
      <c r="F32" s="518">
        <f>SUM(F29:F31)</f>
        <v>1847</v>
      </c>
      <c r="G32" s="519"/>
      <c r="H32" s="518">
        <f>SUM(H29:H31)</f>
        <v>0</v>
      </c>
      <c r="I32" s="519"/>
      <c r="J32" s="518">
        <f>SUM(J29:J31)</f>
        <v>0</v>
      </c>
      <c r="K32" s="519"/>
      <c r="L32" s="518">
        <f>SUM(L29:L31)</f>
        <v>0</v>
      </c>
      <c r="M32" s="519"/>
      <c r="N32" s="518">
        <f>SUM(N29:N31)</f>
        <v>3393</v>
      </c>
      <c r="O32" s="519"/>
      <c r="P32" s="340"/>
      <c r="Q32" s="341"/>
    </row>
    <row r="33" spans="2:17">
      <c r="B33" s="521"/>
      <c r="C33" s="342"/>
      <c r="D33" s="343"/>
      <c r="E33" s="343"/>
      <c r="F33" s="343"/>
      <c r="G33" s="343"/>
      <c r="H33" s="343"/>
      <c r="I33" s="343"/>
      <c r="J33" s="343"/>
      <c r="K33" s="343"/>
      <c r="L33" s="343"/>
      <c r="M33" s="343"/>
      <c r="N33" s="343"/>
      <c r="O33" s="344"/>
      <c r="P33" s="332"/>
      <c r="Q33" s="332"/>
    </row>
    <row r="34" spans="2:17">
      <c r="B34" s="521"/>
      <c r="C34" s="345"/>
      <c r="D34" s="332"/>
      <c r="E34" s="332"/>
      <c r="F34" s="332"/>
      <c r="G34" s="332"/>
      <c r="H34" s="332"/>
      <c r="I34" s="332"/>
      <c r="J34" s="332"/>
      <c r="K34" s="332"/>
      <c r="L34" s="332"/>
      <c r="M34" s="332"/>
      <c r="N34" s="332"/>
      <c r="O34" s="346"/>
      <c r="P34" s="332"/>
      <c r="Q34" s="332"/>
    </row>
    <row r="35" spans="2:17">
      <c r="B35" s="521"/>
      <c r="C35" s="345"/>
      <c r="D35" s="332"/>
      <c r="E35" s="332"/>
      <c r="F35" s="332"/>
      <c r="G35" s="332"/>
      <c r="H35" s="332"/>
      <c r="I35" s="332"/>
      <c r="J35" s="332"/>
      <c r="K35" s="332"/>
      <c r="L35" s="332"/>
      <c r="M35" s="332"/>
      <c r="N35" s="332"/>
      <c r="O35" s="346"/>
      <c r="P35" s="332"/>
      <c r="Q35" s="332"/>
    </row>
    <row r="36" spans="2:17">
      <c r="B36" s="521"/>
      <c r="C36" s="345"/>
      <c r="D36" s="332"/>
      <c r="E36" s="332"/>
      <c r="F36" s="332"/>
      <c r="G36" s="332"/>
      <c r="H36" s="332"/>
      <c r="I36" s="332"/>
      <c r="J36" s="332"/>
      <c r="K36" s="332"/>
      <c r="L36" s="332"/>
      <c r="M36" s="332"/>
      <c r="N36" s="332"/>
      <c r="O36" s="346"/>
      <c r="P36" s="332"/>
      <c r="Q36" s="332"/>
    </row>
    <row r="37" spans="2:17">
      <c r="B37" s="521"/>
      <c r="C37" s="345"/>
      <c r="D37" s="332"/>
      <c r="E37" s="332"/>
      <c r="F37" s="332"/>
      <c r="G37" s="332"/>
      <c r="H37" s="332"/>
      <c r="I37" s="332"/>
      <c r="J37" s="332"/>
      <c r="K37" s="332"/>
      <c r="L37" s="332"/>
      <c r="M37" s="332"/>
      <c r="N37" s="332"/>
      <c r="O37" s="346"/>
      <c r="P37" s="332"/>
      <c r="Q37" s="332"/>
    </row>
    <row r="38" spans="2:17">
      <c r="B38" s="521"/>
      <c r="C38" s="345"/>
      <c r="D38" s="332"/>
      <c r="E38" s="332"/>
      <c r="F38" s="332"/>
      <c r="G38" s="332"/>
      <c r="H38" s="332"/>
      <c r="I38" s="332"/>
      <c r="J38" s="332"/>
      <c r="K38" s="332"/>
      <c r="L38" s="332"/>
      <c r="M38" s="332"/>
      <c r="N38" s="332"/>
      <c r="O38" s="346"/>
      <c r="P38" s="332"/>
      <c r="Q38" s="332"/>
    </row>
    <row r="39" spans="2:17">
      <c r="B39" s="521"/>
      <c r="C39" s="345"/>
      <c r="D39" s="332"/>
      <c r="E39" s="332"/>
      <c r="F39" s="332"/>
      <c r="G39" s="332"/>
      <c r="H39" s="332"/>
      <c r="I39" s="332"/>
      <c r="J39" s="332"/>
      <c r="K39" s="332"/>
      <c r="L39" s="332"/>
      <c r="M39" s="332"/>
      <c r="N39" s="332"/>
      <c r="O39" s="346"/>
      <c r="P39" s="332"/>
      <c r="Q39" s="332"/>
    </row>
    <row r="40" spans="2:17">
      <c r="B40" s="521"/>
      <c r="C40" s="345"/>
      <c r="D40" s="332"/>
      <c r="E40" s="332"/>
      <c r="F40" s="332"/>
      <c r="G40" s="332"/>
      <c r="H40" s="332"/>
      <c r="I40" s="332"/>
      <c r="J40" s="332"/>
      <c r="K40" s="332"/>
      <c r="L40" s="332"/>
      <c r="M40" s="332"/>
      <c r="N40" s="332"/>
      <c r="O40" s="346"/>
      <c r="P40" s="332"/>
      <c r="Q40" s="332"/>
    </row>
    <row r="41" spans="2:17">
      <c r="B41" s="521"/>
      <c r="C41" s="345"/>
      <c r="D41" s="332"/>
      <c r="E41" s="332"/>
      <c r="F41" s="332"/>
      <c r="G41" s="332"/>
      <c r="H41" s="332"/>
      <c r="I41" s="332"/>
      <c r="J41" s="332"/>
      <c r="K41" s="332"/>
      <c r="L41" s="332"/>
      <c r="M41" s="332"/>
      <c r="N41" s="332"/>
      <c r="O41" s="346"/>
      <c r="P41" s="332"/>
      <c r="Q41" s="332"/>
    </row>
    <row r="42" spans="2:17">
      <c r="B42" s="521"/>
      <c r="C42" s="345"/>
      <c r="D42" s="332"/>
      <c r="E42" s="332"/>
      <c r="F42" s="332"/>
      <c r="G42" s="332"/>
      <c r="H42" s="332"/>
      <c r="I42" s="332"/>
      <c r="J42" s="332"/>
      <c r="K42" s="332"/>
      <c r="L42" s="332"/>
      <c r="M42" s="332"/>
      <c r="N42" s="332"/>
      <c r="O42" s="346"/>
      <c r="P42" s="332"/>
      <c r="Q42" s="332"/>
    </row>
    <row r="43" spans="2:17">
      <c r="B43" s="521"/>
      <c r="C43" s="345"/>
      <c r="D43" s="332"/>
      <c r="E43" s="332"/>
      <c r="F43" s="332"/>
      <c r="G43" s="332"/>
      <c r="H43" s="332"/>
      <c r="I43" s="332"/>
      <c r="J43" s="332"/>
      <c r="K43" s="332"/>
      <c r="L43" s="332"/>
      <c r="M43" s="332"/>
      <c r="N43" s="332"/>
      <c r="O43" s="346"/>
      <c r="P43" s="332"/>
      <c r="Q43" s="332"/>
    </row>
    <row r="44" spans="2:17">
      <c r="B44" s="521"/>
      <c r="C44" s="345"/>
      <c r="D44" s="332"/>
      <c r="E44" s="332"/>
      <c r="F44" s="332"/>
      <c r="G44" s="332"/>
      <c r="H44" s="332"/>
      <c r="I44" s="332"/>
      <c r="J44" s="332"/>
      <c r="K44" s="332"/>
      <c r="L44" s="332"/>
      <c r="M44" s="332"/>
      <c r="N44" s="332"/>
      <c r="O44" s="346"/>
      <c r="P44" s="332"/>
      <c r="Q44" s="332"/>
    </row>
    <row r="45" spans="2:17">
      <c r="B45" s="521"/>
      <c r="C45" s="345"/>
      <c r="D45" s="332"/>
      <c r="E45" s="332"/>
      <c r="F45" s="332"/>
      <c r="G45" s="332"/>
      <c r="H45" s="332"/>
      <c r="I45" s="332"/>
      <c r="J45" s="332"/>
      <c r="K45" s="332"/>
      <c r="L45" s="332"/>
      <c r="M45" s="332"/>
      <c r="N45" s="332"/>
      <c r="O45" s="346"/>
      <c r="P45" s="332"/>
      <c r="Q45" s="332"/>
    </row>
    <row r="46" spans="2:17">
      <c r="B46" s="521"/>
      <c r="C46" s="345"/>
      <c r="D46" s="332"/>
      <c r="E46" s="332"/>
      <c r="F46" s="332"/>
      <c r="G46" s="332"/>
      <c r="H46" s="332"/>
      <c r="I46" s="332"/>
      <c r="J46" s="332"/>
      <c r="K46" s="332"/>
      <c r="L46" s="332"/>
      <c r="M46" s="332"/>
      <c r="N46" s="332"/>
      <c r="O46" s="346"/>
      <c r="P46" s="332"/>
      <c r="Q46" s="332"/>
    </row>
    <row r="47" spans="2:17">
      <c r="B47" s="521"/>
      <c r="C47" s="345"/>
      <c r="D47" s="332"/>
      <c r="E47" s="332"/>
      <c r="F47" s="332"/>
      <c r="G47" s="332"/>
      <c r="H47" s="332"/>
      <c r="I47" s="332"/>
      <c r="J47" s="332"/>
      <c r="K47" s="332"/>
      <c r="L47" s="332"/>
      <c r="M47" s="332"/>
      <c r="N47" s="332"/>
      <c r="O47" s="346"/>
      <c r="P47" s="332"/>
      <c r="Q47" s="332"/>
    </row>
    <row r="48" spans="2:17">
      <c r="B48" s="521"/>
      <c r="C48" s="347"/>
      <c r="D48" s="348"/>
      <c r="E48" s="348"/>
      <c r="F48" s="348"/>
      <c r="G48" s="348"/>
      <c r="H48" s="348"/>
      <c r="I48" s="348"/>
      <c r="J48" s="348"/>
      <c r="K48" s="348"/>
      <c r="L48" s="348"/>
      <c r="M48" s="348"/>
      <c r="N48" s="348"/>
      <c r="O48" s="349"/>
      <c r="P48" s="332"/>
      <c r="Q48" s="332"/>
    </row>
  </sheetData>
  <mergeCells count="99">
    <mergeCell ref="J3:K3"/>
    <mergeCell ref="B3:B24"/>
    <mergeCell ref="C3:C4"/>
    <mergeCell ref="D3:E3"/>
    <mergeCell ref="F3:G3"/>
    <mergeCell ref="H3:I3"/>
    <mergeCell ref="D8:E8"/>
    <mergeCell ref="F8:G8"/>
    <mergeCell ref="H8:I8"/>
    <mergeCell ref="J8:K8"/>
    <mergeCell ref="AG3:AH3"/>
    <mergeCell ref="L3:M3"/>
    <mergeCell ref="N3:O3"/>
    <mergeCell ref="P3:Q3"/>
    <mergeCell ref="S3:S24"/>
    <mergeCell ref="T3:T4"/>
    <mergeCell ref="U3:V3"/>
    <mergeCell ref="U8:V8"/>
    <mergeCell ref="W3:X3"/>
    <mergeCell ref="Y3:Z3"/>
    <mergeCell ref="AA3:AB3"/>
    <mergeCell ref="AC3:AD3"/>
    <mergeCell ref="AE3:AF3"/>
    <mergeCell ref="AA8:AB8"/>
    <mergeCell ref="AC8:AD8"/>
    <mergeCell ref="AE8:AF8"/>
    <mergeCell ref="AL3:AM3"/>
    <mergeCell ref="AN3:AO3"/>
    <mergeCell ref="AP3:AQ3"/>
    <mergeCell ref="AR3:AS3"/>
    <mergeCell ref="AL8:AM8"/>
    <mergeCell ref="AN8:AO8"/>
    <mergeCell ref="AP8:AQ8"/>
    <mergeCell ref="AR8:AS8"/>
    <mergeCell ref="N8:O8"/>
    <mergeCell ref="P8:Q8"/>
    <mergeCell ref="BR3:BR24"/>
    <mergeCell ref="BS3:BS4"/>
    <mergeCell ref="BT3:BU3"/>
    <mergeCell ref="BT8:BU8"/>
    <mergeCell ref="AX3:AY3"/>
    <mergeCell ref="BA3:BA24"/>
    <mergeCell ref="BB3:BB4"/>
    <mergeCell ref="BC3:BD3"/>
    <mergeCell ref="AT8:AU8"/>
    <mergeCell ref="AV8:AW8"/>
    <mergeCell ref="AX8:AY8"/>
    <mergeCell ref="BC8:BD8"/>
    <mergeCell ref="AJ3:AJ24"/>
    <mergeCell ref="AK3:AK4"/>
    <mergeCell ref="AT3:AU3"/>
    <mergeCell ref="AV3:AW3"/>
    <mergeCell ref="CB8:CC8"/>
    <mergeCell ref="CD3:CE3"/>
    <mergeCell ref="BV8:BW8"/>
    <mergeCell ref="BX8:BY8"/>
    <mergeCell ref="BZ8:CA8"/>
    <mergeCell ref="BE3:BF3"/>
    <mergeCell ref="BG3:BH3"/>
    <mergeCell ref="BI3:BJ3"/>
    <mergeCell ref="BK3:BL3"/>
    <mergeCell ref="BM3:BN3"/>
    <mergeCell ref="BO3:BP3"/>
    <mergeCell ref="CD8:CE8"/>
    <mergeCell ref="CF3:CG3"/>
    <mergeCell ref="BV3:BW3"/>
    <mergeCell ref="BX3:BY3"/>
    <mergeCell ref="BZ3:CA3"/>
    <mergeCell ref="CB3:CC3"/>
    <mergeCell ref="CF8:CG8"/>
    <mergeCell ref="C9:Q24"/>
    <mergeCell ref="T9:AH24"/>
    <mergeCell ref="AK9:AY24"/>
    <mergeCell ref="BB9:BP24"/>
    <mergeCell ref="BS9:CG24"/>
    <mergeCell ref="BE8:BF8"/>
    <mergeCell ref="BG8:BH8"/>
    <mergeCell ref="BI8:BJ8"/>
    <mergeCell ref="BK8:BL8"/>
    <mergeCell ref="BM8:BN8"/>
    <mergeCell ref="BO8:BP8"/>
    <mergeCell ref="W8:X8"/>
    <mergeCell ref="Y8:Z8"/>
    <mergeCell ref="AG8:AH8"/>
    <mergeCell ref="L8:M8"/>
    <mergeCell ref="B27:B48"/>
    <mergeCell ref="C27:C28"/>
    <mergeCell ref="D27:E27"/>
    <mergeCell ref="F27:G27"/>
    <mergeCell ref="H27:I27"/>
    <mergeCell ref="L27:M27"/>
    <mergeCell ref="N27:O27"/>
    <mergeCell ref="D32:E32"/>
    <mergeCell ref="F32:G32"/>
    <mergeCell ref="H32:I32"/>
    <mergeCell ref="J32:K32"/>
    <mergeCell ref="L32:M32"/>
    <mergeCell ref="N32:O32"/>
    <mergeCell ref="J27:K27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00B0F0"/>
  </sheetPr>
  <dimension ref="B1:AX24"/>
  <sheetViews>
    <sheetView showGridLines="0" zoomScale="85" zoomScaleNormal="85" workbookViewId="0">
      <pane xSplit="3" ySplit="4" topLeftCell="D6" activePane="bottomRight" state="frozen"/>
      <selection activeCell="AF1" sqref="AF1:AF1048576"/>
      <selection pane="topRight" activeCell="AF1" sqref="AF1:AF1048576"/>
      <selection pane="bottomLeft" activeCell="AF1" sqref="AF1:AF1048576"/>
      <selection pane="bottomRight" activeCell="F25" sqref="F25"/>
    </sheetView>
  </sheetViews>
  <sheetFormatPr defaultColWidth="9.1796875" defaultRowHeight="12.5"/>
  <cols>
    <col min="1" max="1" width="1.1796875" style="1" customWidth="1"/>
    <col min="2" max="2" width="9.7265625" style="1" customWidth="1"/>
    <col min="3" max="3" width="12.7265625" style="1" customWidth="1"/>
    <col min="4" max="4" width="7.7265625" style="1" customWidth="1"/>
    <col min="5" max="5" width="7.26953125" style="1" customWidth="1"/>
    <col min="6" max="6" width="7.54296875" style="1" customWidth="1"/>
    <col min="7" max="8" width="6.7265625" style="1" customWidth="1"/>
    <col min="9" max="9" width="7.54296875" style="1" customWidth="1"/>
    <col min="10" max="10" width="6.7265625" style="1" hidden="1" customWidth="1"/>
    <col min="11" max="11" width="10.7265625" style="2" customWidth="1"/>
    <col min="12" max="12" width="9.7265625" style="2" customWidth="1"/>
    <col min="13" max="13" width="8.26953125" style="1" customWidth="1"/>
    <col min="14" max="14" width="7.1796875" style="1" customWidth="1"/>
    <col min="15" max="15" width="7.7265625" style="1" customWidth="1"/>
    <col min="16" max="16" width="8.453125" style="1" bestFit="1" customWidth="1"/>
    <col min="17" max="17" width="7.54296875" style="1" customWidth="1"/>
    <col min="18" max="18" width="7.54296875" style="1" hidden="1" customWidth="1"/>
    <col min="19" max="19" width="11" style="2" customWidth="1"/>
    <col min="20" max="20" width="9.81640625" style="2" customWidth="1"/>
    <col min="21" max="21" width="8.453125" style="1" bestFit="1" customWidth="1"/>
    <col min="22" max="22" width="7.54296875" style="1" bestFit="1" customWidth="1"/>
    <col min="23" max="23" width="7" style="1" customWidth="1"/>
    <col min="24" max="24" width="8.7265625" style="1" bestFit="1" customWidth="1"/>
    <col min="25" max="25" width="7.81640625" style="1" customWidth="1"/>
    <col min="26" max="26" width="7.453125" style="1" hidden="1" customWidth="1"/>
    <col min="27" max="27" width="9.7265625" style="2" customWidth="1"/>
    <col min="28" max="28" width="9.54296875" style="2" customWidth="1"/>
    <col min="29" max="29" width="8.54296875" style="1" customWidth="1"/>
    <col min="30" max="30" width="8.453125" style="1" bestFit="1" customWidth="1"/>
    <col min="31" max="31" width="8.1796875" style="1" customWidth="1"/>
    <col min="32" max="32" width="7.453125" style="2" customWidth="1"/>
    <col min="33" max="33" width="7.453125" style="1" customWidth="1"/>
    <col min="34" max="34" width="7.54296875" style="1" hidden="1" customWidth="1"/>
    <col min="35" max="36" width="9.7265625" style="2" bestFit="1" customWidth="1"/>
    <col min="37" max="38" width="7.7265625" style="1" hidden="1" customWidth="1"/>
    <col min="39" max="39" width="8" style="1" hidden="1" customWidth="1"/>
    <col min="40" max="40" width="6.7265625" style="1" hidden="1" customWidth="1"/>
    <col min="41" max="41" width="11" style="1" hidden="1" customWidth="1"/>
    <col min="42" max="42" width="6.7265625" style="1" hidden="1" customWidth="1"/>
    <col min="43" max="43" width="11" style="2" hidden="1" customWidth="1"/>
    <col min="44" max="44" width="10.7265625" style="2" hidden="1" customWidth="1"/>
    <col min="45" max="45" width="9.7265625" style="2" customWidth="1"/>
    <col min="46" max="46" width="9.7265625" style="2" bestFit="1" customWidth="1"/>
    <col min="47" max="48" width="9.1796875" style="1"/>
    <col min="49" max="49" width="3" style="1" customWidth="1"/>
    <col min="50" max="16384" width="9.1796875" style="1"/>
  </cols>
  <sheetData>
    <row r="1" spans="2:50">
      <c r="D1" s="2"/>
      <c r="E1" s="2"/>
      <c r="Y1" s="1" t="s">
        <v>0</v>
      </c>
      <c r="Z1" s="1" t="s">
        <v>0</v>
      </c>
    </row>
    <row r="2" spans="2:50" ht="18" thickBot="1">
      <c r="C2" s="3"/>
      <c r="D2" s="165" t="s">
        <v>135</v>
      </c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"/>
    </row>
    <row r="3" spans="2:50" ht="27.75" customHeight="1" thickTop="1">
      <c r="D3" s="538" t="s">
        <v>1</v>
      </c>
      <c r="E3" s="539"/>
      <c r="F3" s="539"/>
      <c r="G3" s="539"/>
      <c r="H3" s="539"/>
      <c r="I3" s="539"/>
      <c r="J3" s="539"/>
      <c r="K3" s="539"/>
      <c r="L3" s="540"/>
      <c r="M3" s="538" t="s">
        <v>2</v>
      </c>
      <c r="N3" s="539"/>
      <c r="O3" s="539"/>
      <c r="P3" s="539"/>
      <c r="Q3" s="539"/>
      <c r="R3" s="539"/>
      <c r="S3" s="539"/>
      <c r="T3" s="540"/>
      <c r="U3" s="539" t="s">
        <v>3</v>
      </c>
      <c r="V3" s="539"/>
      <c r="W3" s="539"/>
      <c r="X3" s="539"/>
      <c r="Y3" s="539"/>
      <c r="Z3" s="539"/>
      <c r="AA3" s="539"/>
      <c r="AB3" s="50"/>
      <c r="AC3" s="538" t="s">
        <v>4</v>
      </c>
      <c r="AD3" s="539"/>
      <c r="AE3" s="539"/>
      <c r="AF3" s="539"/>
      <c r="AG3" s="539"/>
      <c r="AH3" s="539"/>
      <c r="AI3" s="539"/>
      <c r="AJ3" s="540"/>
      <c r="AK3" s="538" t="s">
        <v>5</v>
      </c>
      <c r="AL3" s="539"/>
      <c r="AM3" s="539"/>
      <c r="AN3" s="539"/>
      <c r="AO3" s="539"/>
      <c r="AP3" s="539"/>
      <c r="AQ3" s="539"/>
      <c r="AR3" s="540"/>
      <c r="AS3" s="557" t="s">
        <v>7</v>
      </c>
      <c r="AT3" s="558"/>
    </row>
    <row r="4" spans="2:50" ht="20.25" customHeight="1" thickBot="1">
      <c r="D4" s="402">
        <v>44743</v>
      </c>
      <c r="E4" s="402">
        <v>44746</v>
      </c>
      <c r="F4" s="38">
        <f>E4+1</f>
        <v>44747</v>
      </c>
      <c r="G4" s="38">
        <f t="shared" ref="G4:I4" si="0">F4+1</f>
        <v>44748</v>
      </c>
      <c r="H4" s="38">
        <f t="shared" si="0"/>
        <v>44749</v>
      </c>
      <c r="I4" s="38">
        <f t="shared" si="0"/>
        <v>44750</v>
      </c>
      <c r="J4" s="38"/>
      <c r="K4" s="541" t="s">
        <v>6</v>
      </c>
      <c r="L4" s="542"/>
      <c r="M4" s="152">
        <v>44388</v>
      </c>
      <c r="N4" s="153">
        <f>M4+1</f>
        <v>44389</v>
      </c>
      <c r="O4" s="153">
        <f>N4+1</f>
        <v>44390</v>
      </c>
      <c r="P4" s="153">
        <f>O4+1</f>
        <v>44391</v>
      </c>
      <c r="Q4" s="153">
        <f>P4+1</f>
        <v>44392</v>
      </c>
      <c r="R4" s="153">
        <f>Q4+1</f>
        <v>44393</v>
      </c>
      <c r="S4" s="541" t="s">
        <v>6</v>
      </c>
      <c r="T4" s="542"/>
      <c r="U4" s="40">
        <v>44760</v>
      </c>
      <c r="V4" s="39">
        <f>U4+1</f>
        <v>44761</v>
      </c>
      <c r="W4" s="39">
        <f>V4+1</f>
        <v>44762</v>
      </c>
      <c r="X4" s="39">
        <f>W4+1</f>
        <v>44763</v>
      </c>
      <c r="Y4" s="39">
        <f>X4+1</f>
        <v>44764</v>
      </c>
      <c r="Z4" s="39">
        <f>Y4+1</f>
        <v>44765</v>
      </c>
      <c r="AA4" s="541" t="s">
        <v>6</v>
      </c>
      <c r="AB4" s="542"/>
      <c r="AC4" s="40">
        <v>44402</v>
      </c>
      <c r="AD4" s="39">
        <f>AC4+1</f>
        <v>44403</v>
      </c>
      <c r="AE4" s="39">
        <f>AD4+1</f>
        <v>44404</v>
      </c>
      <c r="AF4" s="39">
        <f>AE4+1</f>
        <v>44405</v>
      </c>
      <c r="AG4" s="39">
        <f>AF4+1</f>
        <v>44406</v>
      </c>
      <c r="AH4" s="39">
        <f>AG4+1</f>
        <v>44407</v>
      </c>
      <c r="AI4" s="541" t="s">
        <v>6</v>
      </c>
      <c r="AJ4" s="542"/>
      <c r="AK4" s="40">
        <v>44009</v>
      </c>
      <c r="AL4" s="39">
        <f>AK4+1</f>
        <v>44010</v>
      </c>
      <c r="AM4" s="39">
        <f>AL4+1</f>
        <v>44011</v>
      </c>
      <c r="AN4" s="39">
        <f>AM4+1</f>
        <v>44012</v>
      </c>
      <c r="AO4" s="39"/>
      <c r="AP4" s="39"/>
      <c r="AQ4" s="555" t="s">
        <v>6</v>
      </c>
      <c r="AR4" s="556"/>
      <c r="AS4" s="559"/>
      <c r="AT4" s="560"/>
    </row>
    <row r="5" spans="2:50" s="2" customFormat="1" ht="19.5" customHeight="1" thickTop="1">
      <c r="B5" s="543" t="s">
        <v>131</v>
      </c>
      <c r="C5" s="41" t="s">
        <v>110</v>
      </c>
      <c r="D5" s="42">
        <v>0</v>
      </c>
      <c r="E5" s="42">
        <v>0</v>
      </c>
      <c r="F5" s="42">
        <v>0</v>
      </c>
      <c r="G5" s="42">
        <v>0</v>
      </c>
      <c r="H5" s="42">
        <v>0</v>
      </c>
      <c r="I5" s="42">
        <v>0</v>
      </c>
      <c r="J5" s="374"/>
      <c r="K5" s="227">
        <f>SUM(D5:J5)</f>
        <v>0</v>
      </c>
      <c r="L5" s="415">
        <f>K5/K23</f>
        <v>0</v>
      </c>
      <c r="M5" s="42">
        <v>0</v>
      </c>
      <c r="N5" s="42">
        <v>0</v>
      </c>
      <c r="O5" s="391">
        <v>0</v>
      </c>
      <c r="P5" s="42">
        <v>0</v>
      </c>
      <c r="Q5" s="391">
        <v>0</v>
      </c>
      <c r="R5" s="42">
        <v>0</v>
      </c>
      <c r="S5" s="227">
        <f>SUM(M5:R5)</f>
        <v>0</v>
      </c>
      <c r="T5" s="148">
        <f>S5/S23</f>
        <v>0</v>
      </c>
      <c r="U5" s="42">
        <v>0</v>
      </c>
      <c r="V5" s="42">
        <v>0</v>
      </c>
      <c r="W5" s="42">
        <v>0</v>
      </c>
      <c r="X5" s="42">
        <v>0</v>
      </c>
      <c r="Y5" s="42">
        <v>0</v>
      </c>
      <c r="Z5" s="374">
        <v>0</v>
      </c>
      <c r="AA5" s="143">
        <f>SUM(U5:Z5)</f>
        <v>0</v>
      </c>
      <c r="AB5" s="148" t="e">
        <f>AA5/AA23</f>
        <v>#DIV/0!</v>
      </c>
      <c r="AC5" s="42">
        <v>0</v>
      </c>
      <c r="AD5" s="42">
        <v>0</v>
      </c>
      <c r="AE5" s="42">
        <v>0</v>
      </c>
      <c r="AF5" s="42">
        <v>0</v>
      </c>
      <c r="AG5" s="391">
        <v>0</v>
      </c>
      <c r="AH5" s="396"/>
      <c r="AI5" s="227">
        <f>SUM(AC5:AH5)</f>
        <v>0</v>
      </c>
      <c r="AJ5" s="148" t="e">
        <f>AI5/AI23</f>
        <v>#DIV/0!</v>
      </c>
      <c r="AK5" s="44">
        <v>0</v>
      </c>
      <c r="AL5" s="43">
        <v>0</v>
      </c>
      <c r="AM5" s="43">
        <v>0</v>
      </c>
      <c r="AN5" s="305">
        <v>0</v>
      </c>
      <c r="AO5" s="43">
        <v>0</v>
      </c>
      <c r="AP5" s="43"/>
      <c r="AQ5" s="143">
        <f>SUM(AK5:AP5)</f>
        <v>0</v>
      </c>
      <c r="AR5" s="148" t="e">
        <f>AQ5/AQ23</f>
        <v>#DIV/0!</v>
      </c>
      <c r="AS5" s="158">
        <f>+K5+S5+AA5+AI5+AQ5</f>
        <v>0</v>
      </c>
      <c r="AT5" s="154">
        <f>AS5/AS23</f>
        <v>0</v>
      </c>
    </row>
    <row r="6" spans="2:50" s="2" customFormat="1" ht="19.5" customHeight="1">
      <c r="B6" s="544"/>
      <c r="C6" s="4" t="s">
        <v>136</v>
      </c>
      <c r="D6" s="375">
        <v>0</v>
      </c>
      <c r="E6" s="375">
        <v>0</v>
      </c>
      <c r="F6" s="375">
        <v>0</v>
      </c>
      <c r="G6" s="375">
        <v>0</v>
      </c>
      <c r="H6" s="375">
        <v>0</v>
      </c>
      <c r="I6" s="375">
        <v>0</v>
      </c>
      <c r="J6" s="376">
        <v>0</v>
      </c>
      <c r="K6" s="228">
        <f>SUM(D6:J6)</f>
        <v>0</v>
      </c>
      <c r="L6" s="416">
        <f>K6/K23</f>
        <v>0</v>
      </c>
      <c r="M6" s="375">
        <v>0</v>
      </c>
      <c r="N6" s="375">
        <v>0</v>
      </c>
      <c r="O6" s="392">
        <v>0</v>
      </c>
      <c r="P6" s="375">
        <v>0</v>
      </c>
      <c r="Q6" s="392">
        <v>0</v>
      </c>
      <c r="R6" s="376">
        <v>0</v>
      </c>
      <c r="S6" s="228">
        <f>SUM(M6:R6)</f>
        <v>0</v>
      </c>
      <c r="T6" s="149">
        <f>S6/S23</f>
        <v>0</v>
      </c>
      <c r="U6" s="375">
        <v>0</v>
      </c>
      <c r="V6" s="375">
        <v>0</v>
      </c>
      <c r="W6" s="375">
        <v>0</v>
      </c>
      <c r="X6" s="375">
        <v>0</v>
      </c>
      <c r="Y6" s="375">
        <v>0</v>
      </c>
      <c r="Z6" s="376">
        <v>0</v>
      </c>
      <c r="AA6" s="144">
        <f>SUM(U6:Z6)</f>
        <v>0</v>
      </c>
      <c r="AB6" s="149" t="e">
        <f>AA6/AA23</f>
        <v>#DIV/0!</v>
      </c>
      <c r="AC6" s="375">
        <v>0</v>
      </c>
      <c r="AD6" s="375">
        <v>0</v>
      </c>
      <c r="AE6" s="375">
        <v>0</v>
      </c>
      <c r="AF6" s="375">
        <v>0</v>
      </c>
      <c r="AG6" s="392">
        <v>0</v>
      </c>
      <c r="AH6" s="397">
        <v>0</v>
      </c>
      <c r="AI6" s="228">
        <f>SUM(AC6:AH6)</f>
        <v>0</v>
      </c>
      <c r="AJ6" s="149" t="e">
        <f>AI6/AI23</f>
        <v>#DIV/0!</v>
      </c>
      <c r="AK6" s="37">
        <v>0</v>
      </c>
      <c r="AL6" s="26">
        <v>0</v>
      </c>
      <c r="AM6" s="26">
        <v>0</v>
      </c>
      <c r="AN6" s="306">
        <v>0</v>
      </c>
      <c r="AO6" s="26">
        <v>0</v>
      </c>
      <c r="AP6" s="26">
        <v>0</v>
      </c>
      <c r="AQ6" s="144">
        <f>SUM(AK6:AP6)</f>
        <v>0</v>
      </c>
      <c r="AR6" s="149" t="e">
        <f>AQ6/AQ23</f>
        <v>#DIV/0!</v>
      </c>
      <c r="AS6" s="159">
        <f t="shared" ref="AS6:AS19" si="1">+K6+S6+AA6+AI6+AQ6</f>
        <v>0</v>
      </c>
      <c r="AT6" s="155">
        <f>AS6/AS23</f>
        <v>0</v>
      </c>
    </row>
    <row r="7" spans="2:50" s="2" customFormat="1" ht="19.5" customHeight="1">
      <c r="B7" s="544"/>
      <c r="C7" s="10" t="s">
        <v>115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228">
        <f>SUM(D7:J7)</f>
        <v>0</v>
      </c>
      <c r="L7" s="416">
        <f>K7/K23</f>
        <v>0</v>
      </c>
      <c r="M7" s="5">
        <v>0</v>
      </c>
      <c r="N7" s="5">
        <v>0</v>
      </c>
      <c r="O7" s="393">
        <v>0</v>
      </c>
      <c r="P7" s="5">
        <v>0</v>
      </c>
      <c r="Q7" s="393">
        <v>0</v>
      </c>
      <c r="R7" s="5">
        <v>0</v>
      </c>
      <c r="S7" s="228">
        <f>SUM(M7:R7)</f>
        <v>0</v>
      </c>
      <c r="T7" s="149">
        <f>S7/S23</f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144">
        <f>SUM(U7:Z7)</f>
        <v>0</v>
      </c>
      <c r="AB7" s="149" t="e">
        <f>AA7/AA23</f>
        <v>#DIV/0!</v>
      </c>
      <c r="AC7" s="5">
        <v>0</v>
      </c>
      <c r="AD7" s="5">
        <v>0</v>
      </c>
      <c r="AE7" s="5">
        <v>0</v>
      </c>
      <c r="AF7" s="5">
        <v>0</v>
      </c>
      <c r="AG7" s="393">
        <v>0</v>
      </c>
      <c r="AH7" s="393">
        <v>0</v>
      </c>
      <c r="AI7" s="228">
        <f>SUM(AC7:AH7)</f>
        <v>0</v>
      </c>
      <c r="AJ7" s="149" t="e">
        <f>AI7/AI23</f>
        <v>#DIV/0!</v>
      </c>
      <c r="AK7" s="37">
        <v>0</v>
      </c>
      <c r="AL7" s="26">
        <v>0</v>
      </c>
      <c r="AM7" s="26">
        <v>0</v>
      </c>
      <c r="AN7" s="306">
        <v>0</v>
      </c>
      <c r="AO7" s="26">
        <v>0</v>
      </c>
      <c r="AP7" s="26"/>
      <c r="AQ7" s="144">
        <f>SUM(AK7:AP7)</f>
        <v>0</v>
      </c>
      <c r="AR7" s="149" t="e">
        <f>AQ7/AQ23</f>
        <v>#DIV/0!</v>
      </c>
      <c r="AS7" s="159">
        <f t="shared" si="1"/>
        <v>0</v>
      </c>
      <c r="AT7" s="155">
        <f>AS7/AS23</f>
        <v>0</v>
      </c>
    </row>
    <row r="8" spans="2:50" s="2" customFormat="1" ht="19.5" customHeight="1" thickBot="1">
      <c r="B8" s="545"/>
      <c r="C8" s="61" t="s">
        <v>9</v>
      </c>
      <c r="D8" s="62">
        <f t="shared" ref="D8:J8" si="2">SUM(D5:D7)</f>
        <v>0</v>
      </c>
      <c r="E8" s="62">
        <f>SUM(E5:E7)</f>
        <v>0</v>
      </c>
      <c r="F8" s="62">
        <f>SUM(F5:F7)</f>
        <v>0</v>
      </c>
      <c r="G8" s="62">
        <f>SUM(G5:G7)</f>
        <v>0</v>
      </c>
      <c r="H8" s="62">
        <f>SUM(H5:H7)</f>
        <v>0</v>
      </c>
      <c r="I8" s="62">
        <f t="shared" si="2"/>
        <v>0</v>
      </c>
      <c r="J8" s="188">
        <f t="shared" si="2"/>
        <v>0</v>
      </c>
      <c r="K8" s="229">
        <f>SUM(D8:J8)</f>
        <v>0</v>
      </c>
      <c r="L8" s="417">
        <f>K8/K23</f>
        <v>0</v>
      </c>
      <c r="M8" s="63">
        <f t="shared" ref="M8:R8" si="3">SUM(M5:M7)</f>
        <v>0</v>
      </c>
      <c r="N8" s="353">
        <f t="shared" si="3"/>
        <v>0</v>
      </c>
      <c r="O8" s="353">
        <f t="shared" si="3"/>
        <v>0</v>
      </c>
      <c r="P8" s="62">
        <f t="shared" si="3"/>
        <v>0</v>
      </c>
      <c r="Q8" s="62">
        <f t="shared" si="3"/>
        <v>0</v>
      </c>
      <c r="R8" s="62">
        <f t="shared" si="3"/>
        <v>0</v>
      </c>
      <c r="S8" s="229">
        <f t="shared" ref="S8:S19" si="4">SUM(M8:R8)</f>
        <v>0</v>
      </c>
      <c r="T8" s="150">
        <f>S8/S23</f>
        <v>0</v>
      </c>
      <c r="U8" s="64">
        <f t="shared" ref="U8:Z8" si="5">SUM(U5:U7)</f>
        <v>0</v>
      </c>
      <c r="V8" s="62">
        <f t="shared" si="5"/>
        <v>0</v>
      </c>
      <c r="W8" s="62">
        <f t="shared" si="5"/>
        <v>0</v>
      </c>
      <c r="X8" s="62">
        <f t="shared" si="5"/>
        <v>0</v>
      </c>
      <c r="Y8" s="62">
        <f t="shared" si="5"/>
        <v>0</v>
      </c>
      <c r="Z8" s="62">
        <f t="shared" si="5"/>
        <v>0</v>
      </c>
      <c r="AA8" s="229">
        <f>SUM(U8:Z8)</f>
        <v>0</v>
      </c>
      <c r="AB8" s="150" t="e">
        <f>AA8/AA23</f>
        <v>#DIV/0!</v>
      </c>
      <c r="AC8" s="63">
        <f t="shared" ref="AC8:AH8" si="6">SUM(AC5:AC7)</f>
        <v>0</v>
      </c>
      <c r="AD8" s="62">
        <f t="shared" si="6"/>
        <v>0</v>
      </c>
      <c r="AE8" s="62">
        <f t="shared" si="6"/>
        <v>0</v>
      </c>
      <c r="AF8" s="62">
        <f t="shared" si="6"/>
        <v>0</v>
      </c>
      <c r="AG8" s="62">
        <f t="shared" si="6"/>
        <v>0</v>
      </c>
      <c r="AH8" s="62">
        <f t="shared" si="6"/>
        <v>0</v>
      </c>
      <c r="AI8" s="229">
        <f>SUM(AC8:AH8)</f>
        <v>0</v>
      </c>
      <c r="AJ8" s="150" t="e">
        <f>AI8/AI23</f>
        <v>#DIV/0!</v>
      </c>
      <c r="AK8" s="63">
        <f t="shared" ref="AK8:AP8" si="7">SUM(AK5:AK7)</f>
        <v>0</v>
      </c>
      <c r="AL8" s="62">
        <f t="shared" si="7"/>
        <v>0</v>
      </c>
      <c r="AM8" s="62">
        <f t="shared" si="7"/>
        <v>0</v>
      </c>
      <c r="AN8" s="62">
        <f t="shared" si="7"/>
        <v>0</v>
      </c>
      <c r="AO8" s="62">
        <f t="shared" si="7"/>
        <v>0</v>
      </c>
      <c r="AP8" s="62">
        <f t="shared" si="7"/>
        <v>0</v>
      </c>
      <c r="AQ8" s="145">
        <f t="shared" ref="AQ8:AQ19" si="8">SUM(AK8:AP8)</f>
        <v>0</v>
      </c>
      <c r="AR8" s="150" t="e">
        <f>AQ8/AQ23</f>
        <v>#DIV/0!</v>
      </c>
      <c r="AS8" s="161">
        <f>+K8+S8+AA8+AI8+AQ8</f>
        <v>0</v>
      </c>
      <c r="AT8" s="156">
        <f>AS8/AS23</f>
        <v>0</v>
      </c>
      <c r="AW8" s="296"/>
    </row>
    <row r="9" spans="2:50" s="7" customFormat="1" ht="19.5" hidden="1" customHeight="1" thickTop="1">
      <c r="B9" s="549" t="s">
        <v>10</v>
      </c>
      <c r="C9" s="59" t="s">
        <v>108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189"/>
      <c r="K9" s="230">
        <f t="shared" ref="K9:K19" si="9">SUM(D9:J9)</f>
        <v>0</v>
      </c>
      <c r="L9" s="416">
        <f>K9/K23</f>
        <v>0</v>
      </c>
      <c r="M9" s="29">
        <v>0</v>
      </c>
      <c r="N9" s="29">
        <v>0</v>
      </c>
      <c r="O9" s="307">
        <v>0</v>
      </c>
      <c r="P9" s="29">
        <v>0</v>
      </c>
      <c r="Q9" s="307">
        <v>0</v>
      </c>
      <c r="R9" s="189">
        <v>0</v>
      </c>
      <c r="S9" s="230">
        <f>SUM(M9:R9)</f>
        <v>0</v>
      </c>
      <c r="T9" s="149">
        <f>S9/S23</f>
        <v>0</v>
      </c>
      <c r="U9" s="35">
        <v>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30">
        <f t="shared" ref="AA9:AA19" si="10">SUM(U9:Z9)</f>
        <v>0</v>
      </c>
      <c r="AB9" s="149" t="e">
        <f>AA9/AA23</f>
        <v>#DIV/0!</v>
      </c>
      <c r="AC9" s="36">
        <v>0</v>
      </c>
      <c r="AD9" s="29">
        <v>0</v>
      </c>
      <c r="AE9" s="29">
        <v>0</v>
      </c>
      <c r="AF9" s="29">
        <v>0</v>
      </c>
      <c r="AG9" s="307">
        <v>0</v>
      </c>
      <c r="AH9" s="307"/>
      <c r="AI9" s="230">
        <f t="shared" ref="AI9:AI19" si="11">SUM(AC9:AH9)</f>
        <v>0</v>
      </c>
      <c r="AJ9" s="149" t="e">
        <f>AI9/AI23</f>
        <v>#DIV/0!</v>
      </c>
      <c r="AK9" s="36">
        <v>0</v>
      </c>
      <c r="AL9" s="29">
        <v>0</v>
      </c>
      <c r="AM9" s="29">
        <v>0</v>
      </c>
      <c r="AN9" s="307">
        <v>0</v>
      </c>
      <c r="AO9" s="29">
        <v>0</v>
      </c>
      <c r="AP9" s="29"/>
      <c r="AQ9" s="146">
        <f t="shared" si="8"/>
        <v>0</v>
      </c>
      <c r="AR9" s="149" t="e">
        <f>AQ9/AQ23</f>
        <v>#DIV/0!</v>
      </c>
      <c r="AS9" s="160">
        <f t="shared" si="1"/>
        <v>0</v>
      </c>
      <c r="AT9" s="155">
        <f>AS9/AS23</f>
        <v>0</v>
      </c>
      <c r="AX9" s="2"/>
    </row>
    <row r="10" spans="2:50" s="8" customFormat="1" ht="19.5" hidden="1" customHeight="1">
      <c r="B10" s="549"/>
      <c r="C10" s="9" t="s">
        <v>109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189"/>
      <c r="K10" s="228">
        <f t="shared" si="9"/>
        <v>0</v>
      </c>
      <c r="L10" s="416">
        <f>K10/K23</f>
        <v>0</v>
      </c>
      <c r="M10" s="29">
        <v>0</v>
      </c>
      <c r="N10" s="29">
        <v>0</v>
      </c>
      <c r="O10" s="307">
        <v>0</v>
      </c>
      <c r="P10" s="29">
        <v>0</v>
      </c>
      <c r="Q10" s="307">
        <v>0</v>
      </c>
      <c r="R10" s="189">
        <v>0</v>
      </c>
      <c r="S10" s="228">
        <f>SUM(M10:R10)</f>
        <v>0</v>
      </c>
      <c r="T10" s="149">
        <f>S10/S23</f>
        <v>0</v>
      </c>
      <c r="U10" s="35">
        <v>0</v>
      </c>
      <c r="V10" s="29">
        <v>0</v>
      </c>
      <c r="W10" s="29">
        <v>0</v>
      </c>
      <c r="X10" s="29"/>
      <c r="Y10" s="29" t="s">
        <v>0</v>
      </c>
      <c r="Z10" s="29">
        <v>0</v>
      </c>
      <c r="AA10" s="228">
        <f t="shared" si="10"/>
        <v>0</v>
      </c>
      <c r="AB10" s="149" t="e">
        <f>AA10/AA23</f>
        <v>#DIV/0!</v>
      </c>
      <c r="AC10" s="36">
        <v>0</v>
      </c>
      <c r="AD10" s="29">
        <v>0</v>
      </c>
      <c r="AE10" s="29">
        <v>0</v>
      </c>
      <c r="AF10" s="29">
        <v>0</v>
      </c>
      <c r="AG10" s="307">
        <v>0</v>
      </c>
      <c r="AH10" s="307">
        <v>0</v>
      </c>
      <c r="AI10" s="228">
        <f t="shared" si="11"/>
        <v>0</v>
      </c>
      <c r="AJ10" s="149" t="e">
        <f>AI10/AI23</f>
        <v>#DIV/0!</v>
      </c>
      <c r="AK10" s="36">
        <v>0</v>
      </c>
      <c r="AL10" s="30">
        <v>0</v>
      </c>
      <c r="AM10" s="30">
        <v>0</v>
      </c>
      <c r="AN10" s="308">
        <v>0</v>
      </c>
      <c r="AO10" s="30">
        <v>0</v>
      </c>
      <c r="AP10" s="30">
        <v>0</v>
      </c>
      <c r="AQ10" s="144">
        <f t="shared" si="8"/>
        <v>0</v>
      </c>
      <c r="AR10" s="149" t="e">
        <f>AQ10/AQ23</f>
        <v>#DIV/0!</v>
      </c>
      <c r="AS10" s="159">
        <f t="shared" si="1"/>
        <v>0</v>
      </c>
      <c r="AT10" s="155">
        <f>AS10/AS23</f>
        <v>0</v>
      </c>
    </row>
    <row r="11" spans="2:50" s="8" customFormat="1" ht="19.5" hidden="1" customHeight="1">
      <c r="B11" s="549"/>
      <c r="C11" s="9" t="s">
        <v>110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189"/>
      <c r="K11" s="228">
        <f t="shared" si="9"/>
        <v>0</v>
      </c>
      <c r="L11" s="416">
        <f>K11/K23</f>
        <v>0</v>
      </c>
      <c r="M11" s="29">
        <v>0</v>
      </c>
      <c r="N11" s="29">
        <v>0</v>
      </c>
      <c r="O11" s="307">
        <v>0</v>
      </c>
      <c r="P11" s="29">
        <v>0</v>
      </c>
      <c r="Q11" s="307">
        <v>0</v>
      </c>
      <c r="R11" s="189">
        <v>0</v>
      </c>
      <c r="S11" s="228">
        <f t="shared" si="4"/>
        <v>0</v>
      </c>
      <c r="T11" s="149">
        <f>S11/S23</f>
        <v>0</v>
      </c>
      <c r="U11" s="35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28">
        <f t="shared" si="10"/>
        <v>0</v>
      </c>
      <c r="AB11" s="149" t="e">
        <f>AA11/AA23</f>
        <v>#DIV/0!</v>
      </c>
      <c r="AC11" s="36">
        <v>0</v>
      </c>
      <c r="AD11" s="29">
        <v>0</v>
      </c>
      <c r="AE11" s="29">
        <v>0</v>
      </c>
      <c r="AF11" s="29">
        <v>0</v>
      </c>
      <c r="AG11" s="307">
        <v>0</v>
      </c>
      <c r="AH11" s="307"/>
      <c r="AI11" s="228">
        <f t="shared" si="11"/>
        <v>0</v>
      </c>
      <c r="AJ11" s="149" t="e">
        <f>AI11/AI23</f>
        <v>#DIV/0!</v>
      </c>
      <c r="AK11" s="36">
        <v>0</v>
      </c>
      <c r="AL11" s="30">
        <v>0</v>
      </c>
      <c r="AM11" s="30">
        <v>0</v>
      </c>
      <c r="AN11" s="308">
        <v>0</v>
      </c>
      <c r="AO11" s="30">
        <v>0</v>
      </c>
      <c r="AP11" s="30"/>
      <c r="AQ11" s="144">
        <f t="shared" si="8"/>
        <v>0</v>
      </c>
      <c r="AR11" s="149" t="e">
        <f>AQ11/AQ23</f>
        <v>#DIV/0!</v>
      </c>
      <c r="AS11" s="159">
        <f t="shared" si="1"/>
        <v>0</v>
      </c>
      <c r="AT11" s="155">
        <f>AS11/AS23</f>
        <v>0</v>
      </c>
    </row>
    <row r="12" spans="2:50" s="7" customFormat="1" ht="19.5" hidden="1" customHeight="1" thickBot="1">
      <c r="B12" s="549"/>
      <c r="C12" s="53" t="s">
        <v>9</v>
      </c>
      <c r="D12" s="54">
        <f t="shared" ref="D12:J12" si="12">SUM(D9:D11)</f>
        <v>0</v>
      </c>
      <c r="E12" s="54">
        <f t="shared" si="12"/>
        <v>0</v>
      </c>
      <c r="F12" s="54">
        <f t="shared" si="12"/>
        <v>0</v>
      </c>
      <c r="G12" s="54">
        <f t="shared" si="12"/>
        <v>0</v>
      </c>
      <c r="H12" s="54">
        <f t="shared" si="12"/>
        <v>0</v>
      </c>
      <c r="I12" s="54">
        <f t="shared" si="12"/>
        <v>0</v>
      </c>
      <c r="J12" s="378">
        <f t="shared" si="12"/>
        <v>0</v>
      </c>
      <c r="K12" s="229">
        <f>SUM(D12:J12)</f>
        <v>0</v>
      </c>
      <c r="L12" s="418">
        <f>K12/K23</f>
        <v>0</v>
      </c>
      <c r="M12" s="55">
        <f t="shared" ref="M12:R12" si="13">SUM(M9:M11)</f>
        <v>0</v>
      </c>
      <c r="N12" s="54">
        <f>SUM(N9:N11)</f>
        <v>0</v>
      </c>
      <c r="O12" s="54">
        <f>SUM(O9:O11)</f>
        <v>0</v>
      </c>
      <c r="P12" s="54">
        <f>SUM(P9:P11)</f>
        <v>0</v>
      </c>
      <c r="Q12" s="54">
        <f t="shared" si="13"/>
        <v>0</v>
      </c>
      <c r="R12" s="378">
        <f t="shared" si="13"/>
        <v>0</v>
      </c>
      <c r="S12" s="243">
        <f>SUM(M12:R12)</f>
        <v>0</v>
      </c>
      <c r="T12" s="151">
        <f>S12/S23</f>
        <v>0</v>
      </c>
      <c r="U12" s="56">
        <f t="shared" ref="U12:Z12" si="14">SUM(U9:U11)</f>
        <v>0</v>
      </c>
      <c r="V12" s="54">
        <f t="shared" si="14"/>
        <v>0</v>
      </c>
      <c r="W12" s="54">
        <f t="shared" si="14"/>
        <v>0</v>
      </c>
      <c r="X12" s="54">
        <f t="shared" si="14"/>
        <v>0</v>
      </c>
      <c r="Y12" s="54">
        <f t="shared" si="14"/>
        <v>0</v>
      </c>
      <c r="Z12" s="378">
        <f t="shared" si="14"/>
        <v>0</v>
      </c>
      <c r="AA12" s="243">
        <f t="shared" si="10"/>
        <v>0</v>
      </c>
      <c r="AB12" s="151" t="e">
        <f>AA12/AA23</f>
        <v>#DIV/0!</v>
      </c>
      <c r="AC12" s="57">
        <f t="shared" ref="AC12:AH12" si="15">SUM(AC9:AC11)</f>
        <v>0</v>
      </c>
      <c r="AD12" s="58">
        <f t="shared" si="15"/>
        <v>0</v>
      </c>
      <c r="AE12" s="58">
        <f t="shared" si="15"/>
        <v>0</v>
      </c>
      <c r="AF12" s="58">
        <f t="shared" si="15"/>
        <v>0</v>
      </c>
      <c r="AG12" s="58">
        <f t="shared" si="15"/>
        <v>0</v>
      </c>
      <c r="AH12" s="58">
        <f t="shared" si="15"/>
        <v>0</v>
      </c>
      <c r="AI12" s="243">
        <f>SUM(AC12:AH12)</f>
        <v>0</v>
      </c>
      <c r="AJ12" s="151" t="e">
        <f>AI12/AI23</f>
        <v>#DIV/0!</v>
      </c>
      <c r="AK12" s="55">
        <f t="shared" ref="AK12:AP12" si="16">SUM(AK9:AK11)</f>
        <v>0</v>
      </c>
      <c r="AL12" s="54">
        <f t="shared" si="16"/>
        <v>0</v>
      </c>
      <c r="AM12" s="54">
        <f t="shared" si="16"/>
        <v>0</v>
      </c>
      <c r="AN12" s="54">
        <f t="shared" si="16"/>
        <v>0</v>
      </c>
      <c r="AO12" s="54">
        <f t="shared" si="16"/>
        <v>0</v>
      </c>
      <c r="AP12" s="54">
        <f t="shared" si="16"/>
        <v>0</v>
      </c>
      <c r="AQ12" s="147">
        <f t="shared" si="8"/>
        <v>0</v>
      </c>
      <c r="AR12" s="151" t="e">
        <f>AQ12/AQ23</f>
        <v>#DIV/0!</v>
      </c>
      <c r="AS12" s="161">
        <f t="shared" si="1"/>
        <v>0</v>
      </c>
      <c r="AT12" s="157">
        <f>AS12/AS23</f>
        <v>0</v>
      </c>
    </row>
    <row r="13" spans="2:50" s="7" customFormat="1" ht="19.5" customHeight="1" thickTop="1">
      <c r="B13" s="546" t="s">
        <v>132</v>
      </c>
      <c r="C13" s="65" t="s">
        <v>110</v>
      </c>
      <c r="D13" s="66">
        <v>0</v>
      </c>
      <c r="E13" s="66">
        <v>0</v>
      </c>
      <c r="F13" s="66">
        <v>0</v>
      </c>
      <c r="G13" s="66">
        <v>0</v>
      </c>
      <c r="H13" s="66">
        <v>0</v>
      </c>
      <c r="I13" s="66">
        <v>0</v>
      </c>
      <c r="J13" s="379"/>
      <c r="K13" s="380">
        <f t="shared" si="9"/>
        <v>0</v>
      </c>
      <c r="L13" s="415">
        <f>K13/K23</f>
        <v>0</v>
      </c>
      <c r="M13" s="66">
        <v>0</v>
      </c>
      <c r="N13" s="66">
        <v>0</v>
      </c>
      <c r="O13" s="309">
        <v>0</v>
      </c>
      <c r="P13" s="66">
        <v>0</v>
      </c>
      <c r="Q13" s="309">
        <v>0</v>
      </c>
      <c r="R13" s="66">
        <v>0</v>
      </c>
      <c r="S13" s="227">
        <f t="shared" si="4"/>
        <v>0</v>
      </c>
      <c r="T13" s="148">
        <f>S13/S23</f>
        <v>0</v>
      </c>
      <c r="U13" s="66">
        <v>0</v>
      </c>
      <c r="V13" s="66">
        <v>0</v>
      </c>
      <c r="W13" s="309">
        <v>0</v>
      </c>
      <c r="X13" s="66">
        <v>0</v>
      </c>
      <c r="Y13" s="309">
        <v>0</v>
      </c>
      <c r="Z13" s="377">
        <v>0</v>
      </c>
      <c r="AA13" s="227">
        <f>SUM(U13:Z13)</f>
        <v>0</v>
      </c>
      <c r="AB13" s="148" t="e">
        <f>AA13/AA23</f>
        <v>#DIV/0!</v>
      </c>
      <c r="AC13" s="66">
        <v>0</v>
      </c>
      <c r="AD13" s="66">
        <v>0</v>
      </c>
      <c r="AE13" s="309">
        <v>0</v>
      </c>
      <c r="AF13" s="66">
        <v>0</v>
      </c>
      <c r="AG13" s="309">
        <v>0</v>
      </c>
      <c r="AH13" s="377">
        <v>0</v>
      </c>
      <c r="AI13" s="227">
        <f t="shared" si="11"/>
        <v>0</v>
      </c>
      <c r="AJ13" s="148" t="e">
        <f>AI13/AI23</f>
        <v>#DIV/0!</v>
      </c>
      <c r="AK13" s="66">
        <v>0</v>
      </c>
      <c r="AL13" s="66">
        <v>0</v>
      </c>
      <c r="AM13" s="309">
        <v>0</v>
      </c>
      <c r="AN13" s="66">
        <v>0</v>
      </c>
      <c r="AO13" s="309">
        <v>0</v>
      </c>
      <c r="AP13" s="377">
        <v>0</v>
      </c>
      <c r="AQ13" s="143">
        <f t="shared" si="8"/>
        <v>0</v>
      </c>
      <c r="AR13" s="148" t="e">
        <f>AQ13/AQ23</f>
        <v>#DIV/0!</v>
      </c>
      <c r="AS13" s="160">
        <f t="shared" si="1"/>
        <v>0</v>
      </c>
      <c r="AT13" s="154">
        <f>AS13/AS23</f>
        <v>0</v>
      </c>
      <c r="AX13" s="2"/>
    </row>
    <row r="14" spans="2:50" s="8" customFormat="1" ht="19.5" customHeight="1">
      <c r="B14" s="547"/>
      <c r="C14" s="6" t="s">
        <v>136</v>
      </c>
      <c r="D14" s="28">
        <v>0.5</v>
      </c>
      <c r="E14" s="28">
        <v>2</v>
      </c>
      <c r="F14" s="28">
        <v>2</v>
      </c>
      <c r="G14" s="28">
        <v>0.5</v>
      </c>
      <c r="H14" s="28">
        <v>1</v>
      </c>
      <c r="I14" s="28">
        <v>3</v>
      </c>
      <c r="J14" s="379"/>
      <c r="K14" s="381">
        <f t="shared" si="9"/>
        <v>9</v>
      </c>
      <c r="L14" s="416">
        <f>K14/K23</f>
        <v>5.8214747736093147E-3</v>
      </c>
      <c r="M14" s="28">
        <v>0</v>
      </c>
      <c r="N14" s="28">
        <v>0</v>
      </c>
      <c r="O14" s="28">
        <v>11</v>
      </c>
      <c r="P14" s="28">
        <v>2</v>
      </c>
      <c r="Q14" s="28">
        <v>0</v>
      </c>
      <c r="R14" s="28">
        <v>0</v>
      </c>
      <c r="S14" s="228">
        <f t="shared" si="4"/>
        <v>13</v>
      </c>
      <c r="T14" s="149">
        <f>S14/S23</f>
        <v>7.0384407146724419E-3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28">
        <f>SUM(U14:Z14)</f>
        <v>0</v>
      </c>
      <c r="AB14" s="149" t="e">
        <f>AA14/AA23</f>
        <v>#DIV/0!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28">
        <f t="shared" si="11"/>
        <v>0</v>
      </c>
      <c r="AJ14" s="149" t="e">
        <f>AI14/AI23</f>
        <v>#DIV/0!</v>
      </c>
      <c r="AK14" s="28">
        <v>0</v>
      </c>
      <c r="AL14" s="28">
        <v>0</v>
      </c>
      <c r="AM14" s="28">
        <v>0</v>
      </c>
      <c r="AN14" s="28">
        <v>0</v>
      </c>
      <c r="AO14" s="310">
        <v>0</v>
      </c>
      <c r="AP14" s="28">
        <v>0</v>
      </c>
      <c r="AQ14" s="144">
        <f>SUM(AK14:AP14)</f>
        <v>0</v>
      </c>
      <c r="AR14" s="149" t="e">
        <f>AQ14/AQ23</f>
        <v>#DIV/0!</v>
      </c>
      <c r="AS14" s="159">
        <f>+K14+S14+AA14+AI14+AQ14</f>
        <v>22</v>
      </c>
      <c r="AT14" s="155">
        <f>AS14/AS23</f>
        <v>6.4839375184202767E-3</v>
      </c>
      <c r="AW14" s="2"/>
      <c r="AX14" s="2"/>
    </row>
    <row r="15" spans="2:50" s="8" customFormat="1" ht="19.5" customHeight="1">
      <c r="B15" s="547"/>
      <c r="C15" s="6" t="s">
        <v>115</v>
      </c>
      <c r="D15" s="27">
        <v>0</v>
      </c>
      <c r="E15" s="27">
        <v>0</v>
      </c>
      <c r="F15" s="27">
        <v>18</v>
      </c>
      <c r="G15" s="27">
        <v>2</v>
      </c>
      <c r="H15" s="27">
        <v>5</v>
      </c>
      <c r="I15" s="27">
        <v>2</v>
      </c>
      <c r="J15" s="189"/>
      <c r="K15" s="381">
        <f t="shared" si="9"/>
        <v>27</v>
      </c>
      <c r="L15" s="416">
        <f>K15/K23</f>
        <v>1.7464424320827943E-2</v>
      </c>
      <c r="M15" s="28">
        <v>1.5</v>
      </c>
      <c r="N15" s="28">
        <v>3.5</v>
      </c>
      <c r="O15" s="28">
        <v>0.5</v>
      </c>
      <c r="P15" s="28">
        <v>2.5</v>
      </c>
      <c r="Q15" s="28">
        <v>0</v>
      </c>
      <c r="R15" s="27">
        <v>0</v>
      </c>
      <c r="S15" s="228">
        <f t="shared" si="4"/>
        <v>8</v>
      </c>
      <c r="T15" s="149">
        <f>S15/S23</f>
        <v>4.3313481321061182E-3</v>
      </c>
      <c r="U15" s="27">
        <v>0</v>
      </c>
      <c r="V15" s="27">
        <v>0</v>
      </c>
      <c r="W15" s="27">
        <v>0</v>
      </c>
      <c r="X15" s="27">
        <v>0</v>
      </c>
      <c r="Y15" s="27">
        <v>0</v>
      </c>
      <c r="Z15" s="27">
        <v>0</v>
      </c>
      <c r="AA15" s="228">
        <f>SUM(U15:Z15)</f>
        <v>0</v>
      </c>
      <c r="AB15" s="149" t="e">
        <f>AA15/AA23</f>
        <v>#DIV/0!</v>
      </c>
      <c r="AC15" s="27">
        <v>0</v>
      </c>
      <c r="AD15" s="27">
        <v>0</v>
      </c>
      <c r="AE15" s="27">
        <v>0</v>
      </c>
      <c r="AF15" s="27">
        <v>0</v>
      </c>
      <c r="AG15" s="27">
        <v>0</v>
      </c>
      <c r="AH15" s="27">
        <v>0</v>
      </c>
      <c r="AI15" s="228">
        <f t="shared" si="11"/>
        <v>0</v>
      </c>
      <c r="AJ15" s="149" t="e">
        <f>AI15/AI23</f>
        <v>#DIV/0!</v>
      </c>
      <c r="AK15" s="27">
        <v>0</v>
      </c>
      <c r="AL15" s="27">
        <v>0</v>
      </c>
      <c r="AM15" s="27">
        <v>0</v>
      </c>
      <c r="AN15" s="27">
        <v>0</v>
      </c>
      <c r="AO15" s="394">
        <v>0</v>
      </c>
      <c r="AP15" s="27">
        <v>0</v>
      </c>
      <c r="AQ15" s="144">
        <f t="shared" si="8"/>
        <v>0</v>
      </c>
      <c r="AR15" s="149" t="e">
        <f>AQ15/AQ23</f>
        <v>#DIV/0!</v>
      </c>
      <c r="AS15" s="159">
        <f t="shared" si="1"/>
        <v>35</v>
      </c>
      <c r="AT15" s="155">
        <f>AS15/AS23</f>
        <v>1.031535514294135E-2</v>
      </c>
      <c r="AX15" s="2"/>
    </row>
    <row r="16" spans="2:50" s="7" customFormat="1" ht="19.5" customHeight="1" thickBot="1">
      <c r="B16" s="548"/>
      <c r="C16" s="67" t="s">
        <v>9</v>
      </c>
      <c r="D16" s="68">
        <f t="shared" ref="D16:J16" si="17">SUM(D13:D15)</f>
        <v>0.5</v>
      </c>
      <c r="E16" s="68">
        <f>SUM(E13:E15)</f>
        <v>2</v>
      </c>
      <c r="F16" s="68">
        <f>SUM(F13:F15)</f>
        <v>20</v>
      </c>
      <c r="G16" s="68">
        <f>SUM(G13:G15)</f>
        <v>2.5</v>
      </c>
      <c r="H16" s="68">
        <f>SUM(H13:H15)</f>
        <v>6</v>
      </c>
      <c r="I16" s="68">
        <f t="shared" si="17"/>
        <v>5</v>
      </c>
      <c r="J16" s="190">
        <f t="shared" si="17"/>
        <v>0</v>
      </c>
      <c r="K16" s="229">
        <f>SUM(D16:J16)</f>
        <v>36</v>
      </c>
      <c r="L16" s="150">
        <f>K16/K23</f>
        <v>2.3285899094437259E-2</v>
      </c>
      <c r="M16" s="69">
        <f t="shared" ref="M16:R16" si="18">SUM(M13:M15)</f>
        <v>1.5</v>
      </c>
      <c r="N16" s="68">
        <f t="shared" si="18"/>
        <v>3.5</v>
      </c>
      <c r="O16" s="68">
        <f t="shared" si="18"/>
        <v>11.5</v>
      </c>
      <c r="P16" s="68">
        <f>SUM(P13:P15)</f>
        <v>4.5</v>
      </c>
      <c r="Q16" s="68">
        <f t="shared" si="18"/>
        <v>0</v>
      </c>
      <c r="R16" s="68">
        <f t="shared" si="18"/>
        <v>0</v>
      </c>
      <c r="S16" s="229">
        <f>SUM(M16:R16)</f>
        <v>21</v>
      </c>
      <c r="T16" s="150">
        <f>S16/S23</f>
        <v>1.1369788846778559E-2</v>
      </c>
      <c r="U16" s="70">
        <f t="shared" ref="U16:Z16" si="19">SUM(U13:U15)</f>
        <v>0</v>
      </c>
      <c r="V16" s="68">
        <f t="shared" si="19"/>
        <v>0</v>
      </c>
      <c r="W16" s="68">
        <f t="shared" si="19"/>
        <v>0</v>
      </c>
      <c r="X16" s="68">
        <f t="shared" si="19"/>
        <v>0</v>
      </c>
      <c r="Y16" s="68">
        <f t="shared" si="19"/>
        <v>0</v>
      </c>
      <c r="Z16" s="68">
        <f t="shared" si="19"/>
        <v>0</v>
      </c>
      <c r="AA16" s="229">
        <f>SUM(U16:Z16)</f>
        <v>0</v>
      </c>
      <c r="AB16" s="150" t="e">
        <f>AA16/AA23</f>
        <v>#DIV/0!</v>
      </c>
      <c r="AC16" s="63">
        <f t="shared" ref="AC16:AH16" si="20">SUM(AC13:AC15)</f>
        <v>0</v>
      </c>
      <c r="AD16" s="62">
        <f t="shared" si="20"/>
        <v>0</v>
      </c>
      <c r="AE16" s="62">
        <f>SUM(AE13:AE15)</f>
        <v>0</v>
      </c>
      <c r="AF16" s="62">
        <f t="shared" si="20"/>
        <v>0</v>
      </c>
      <c r="AG16" s="62">
        <f t="shared" si="20"/>
        <v>0</v>
      </c>
      <c r="AH16" s="62">
        <f t="shared" si="20"/>
        <v>0</v>
      </c>
      <c r="AI16" s="229">
        <f>SUM(AC16:AH16)</f>
        <v>0</v>
      </c>
      <c r="AJ16" s="150" t="e">
        <f>AI16/AI23</f>
        <v>#DIV/0!</v>
      </c>
      <c r="AK16" s="63">
        <f t="shared" ref="AK16:AP16" si="21">SUM(AK13:AK15)</f>
        <v>0</v>
      </c>
      <c r="AL16" s="62">
        <f t="shared" si="21"/>
        <v>0</v>
      </c>
      <c r="AM16" s="62">
        <f t="shared" si="21"/>
        <v>0</v>
      </c>
      <c r="AN16" s="62">
        <f t="shared" si="21"/>
        <v>0</v>
      </c>
      <c r="AO16" s="62">
        <f t="shared" si="21"/>
        <v>0</v>
      </c>
      <c r="AP16" s="62">
        <f t="shared" si="21"/>
        <v>0</v>
      </c>
      <c r="AQ16" s="145">
        <f>SUM(AK16:AP16)</f>
        <v>0</v>
      </c>
      <c r="AR16" s="150" t="e">
        <f>AQ16/AQ23</f>
        <v>#DIV/0!</v>
      </c>
      <c r="AS16" s="490">
        <f>+K16+S16+AA16+AI16+AQ16</f>
        <v>57</v>
      </c>
      <c r="AT16" s="156">
        <f>AS16/AS23</f>
        <v>1.6799292661361626E-2</v>
      </c>
      <c r="AX16" s="2"/>
    </row>
    <row r="17" spans="2:47" s="7" customFormat="1" ht="19.5" customHeight="1" thickTop="1">
      <c r="B17" s="550" t="s">
        <v>11</v>
      </c>
      <c r="C17" s="60" t="s">
        <v>133</v>
      </c>
      <c r="D17" s="26">
        <v>0</v>
      </c>
      <c r="E17" s="26">
        <v>0</v>
      </c>
      <c r="F17" s="316">
        <v>0</v>
      </c>
      <c r="G17" s="316">
        <v>0</v>
      </c>
      <c r="H17" s="316">
        <v>0</v>
      </c>
      <c r="I17" s="351">
        <v>0</v>
      </c>
      <c r="J17" s="317">
        <v>0</v>
      </c>
      <c r="K17" s="230">
        <f t="shared" si="9"/>
        <v>0</v>
      </c>
      <c r="L17" s="416">
        <f>K17/K23</f>
        <v>0</v>
      </c>
      <c r="M17" s="316">
        <v>0</v>
      </c>
      <c r="N17" s="316">
        <v>0</v>
      </c>
      <c r="O17" s="395">
        <v>0</v>
      </c>
      <c r="P17" s="395">
        <v>0</v>
      </c>
      <c r="Q17" s="395">
        <v>0</v>
      </c>
      <c r="R17" s="317">
        <v>0</v>
      </c>
      <c r="S17" s="146">
        <f>SUM(M17:R17)</f>
        <v>0</v>
      </c>
      <c r="T17" s="149">
        <f>S17/S23</f>
        <v>0</v>
      </c>
      <c r="U17" s="316">
        <v>0</v>
      </c>
      <c r="V17" s="316">
        <v>0</v>
      </c>
      <c r="W17" s="316">
        <v>0</v>
      </c>
      <c r="X17" s="316">
        <v>0</v>
      </c>
      <c r="Y17" s="316">
        <v>0</v>
      </c>
      <c r="Z17" s="316">
        <v>0</v>
      </c>
      <c r="AA17" s="230">
        <f t="shared" si="10"/>
        <v>0</v>
      </c>
      <c r="AB17" s="149" t="e">
        <f>AA17/AA23</f>
        <v>#DIV/0!</v>
      </c>
      <c r="AC17" s="316">
        <v>0</v>
      </c>
      <c r="AD17" s="316">
        <v>0</v>
      </c>
      <c r="AE17" s="316">
        <v>0</v>
      </c>
      <c r="AF17" s="316">
        <v>0</v>
      </c>
      <c r="AG17" s="398">
        <v>0</v>
      </c>
      <c r="AH17" s="399">
        <v>0</v>
      </c>
      <c r="AI17" s="146">
        <f t="shared" si="11"/>
        <v>0</v>
      </c>
      <c r="AJ17" s="149" t="e">
        <f>AI17/AI23</f>
        <v>#DIV/0!</v>
      </c>
      <c r="AK17" s="37">
        <v>0</v>
      </c>
      <c r="AL17" s="25">
        <v>0</v>
      </c>
      <c r="AM17" s="25">
        <v>0</v>
      </c>
      <c r="AN17" s="311">
        <v>0</v>
      </c>
      <c r="AO17" s="25">
        <v>0</v>
      </c>
      <c r="AP17" s="25">
        <v>0</v>
      </c>
      <c r="AQ17" s="146">
        <f t="shared" si="8"/>
        <v>0</v>
      </c>
      <c r="AR17" s="149" t="e">
        <f>AQ17/AQ23</f>
        <v>#DIV/0!</v>
      </c>
      <c r="AS17" s="160">
        <f t="shared" si="1"/>
        <v>0</v>
      </c>
      <c r="AT17" s="155">
        <f>AS17/AS23</f>
        <v>0</v>
      </c>
    </row>
    <row r="18" spans="2:47" s="8" customFormat="1" ht="19.5" customHeight="1">
      <c r="B18" s="550"/>
      <c r="C18" s="10" t="s">
        <v>136</v>
      </c>
      <c r="D18" s="316">
        <v>0</v>
      </c>
      <c r="E18" s="316">
        <v>90</v>
      </c>
      <c r="F18" s="316">
        <v>290</v>
      </c>
      <c r="G18" s="316">
        <v>460</v>
      </c>
      <c r="H18" s="316">
        <v>330</v>
      </c>
      <c r="I18" s="351">
        <v>340</v>
      </c>
      <c r="J18" s="317">
        <v>0</v>
      </c>
      <c r="K18" s="228">
        <f>SUM(D18:J18)</f>
        <v>1510</v>
      </c>
      <c r="L18" s="416">
        <f>K18/K23</f>
        <v>0.97671410090556277</v>
      </c>
      <c r="M18" s="316">
        <v>310</v>
      </c>
      <c r="N18" s="316">
        <v>380</v>
      </c>
      <c r="O18" s="395">
        <v>776</v>
      </c>
      <c r="P18" s="395">
        <v>360</v>
      </c>
      <c r="Q18" s="395">
        <v>0</v>
      </c>
      <c r="R18" s="317">
        <v>0</v>
      </c>
      <c r="S18" s="144">
        <f t="shared" si="4"/>
        <v>1826</v>
      </c>
      <c r="T18" s="149">
        <f>S18/S23</f>
        <v>0.98863021115322147</v>
      </c>
      <c r="U18" s="316">
        <v>0</v>
      </c>
      <c r="V18" s="316">
        <v>0</v>
      </c>
      <c r="W18" s="316">
        <v>0</v>
      </c>
      <c r="X18" s="316">
        <v>0</v>
      </c>
      <c r="Y18" s="316">
        <v>0</v>
      </c>
      <c r="Z18" s="316">
        <v>0</v>
      </c>
      <c r="AA18" s="228">
        <f>SUM(U18:Z18)</f>
        <v>0</v>
      </c>
      <c r="AB18" s="149" t="e">
        <f>AA18/AA23</f>
        <v>#DIV/0!</v>
      </c>
      <c r="AC18" s="316">
        <v>0</v>
      </c>
      <c r="AD18" s="316">
        <v>0</v>
      </c>
      <c r="AE18" s="316">
        <v>0</v>
      </c>
      <c r="AF18" s="316">
        <v>0</v>
      </c>
      <c r="AG18" s="316">
        <v>0</v>
      </c>
      <c r="AH18" s="399">
        <v>0</v>
      </c>
      <c r="AI18" s="144">
        <f>SUM(AC18:AH18)</f>
        <v>0</v>
      </c>
      <c r="AJ18" s="149" t="e">
        <f>AI18/AI23</f>
        <v>#DIV/0!</v>
      </c>
      <c r="AK18" s="502">
        <v>0</v>
      </c>
      <c r="AL18" s="503">
        <v>0</v>
      </c>
      <c r="AM18" s="26">
        <v>0</v>
      </c>
      <c r="AN18" s="26">
        <v>0</v>
      </c>
      <c r="AO18" s="26">
        <v>0</v>
      </c>
      <c r="AP18" s="26">
        <v>0</v>
      </c>
      <c r="AQ18" s="144">
        <f>SUM(AK18:AP18)</f>
        <v>0</v>
      </c>
      <c r="AR18" s="149" t="e">
        <f>AQ18/AQ23</f>
        <v>#DIV/0!</v>
      </c>
      <c r="AS18" s="159">
        <f t="shared" si="1"/>
        <v>3336</v>
      </c>
      <c r="AT18" s="155">
        <f>AS18/AS23</f>
        <v>0.9832007073386384</v>
      </c>
    </row>
    <row r="19" spans="2:47" s="8" customFormat="1" ht="19.5" customHeight="1">
      <c r="B19" s="550"/>
      <c r="C19" s="10"/>
      <c r="D19" s="316">
        <v>0</v>
      </c>
      <c r="E19" s="316">
        <v>0</v>
      </c>
      <c r="F19" s="316">
        <v>0</v>
      </c>
      <c r="G19" s="316">
        <v>0</v>
      </c>
      <c r="H19" s="316">
        <v>0</v>
      </c>
      <c r="I19" s="351">
        <v>0</v>
      </c>
      <c r="J19" s="317">
        <v>0</v>
      </c>
      <c r="K19" s="228">
        <f t="shared" si="9"/>
        <v>0</v>
      </c>
      <c r="L19" s="416">
        <f>K19/K23</f>
        <v>0</v>
      </c>
      <c r="M19" s="316">
        <v>0</v>
      </c>
      <c r="N19" s="316">
        <v>0</v>
      </c>
      <c r="O19" s="395">
        <v>0</v>
      </c>
      <c r="P19" s="395">
        <v>0</v>
      </c>
      <c r="Q19" s="395">
        <v>0</v>
      </c>
      <c r="R19" s="317">
        <v>0</v>
      </c>
      <c r="S19" s="144">
        <f t="shared" si="4"/>
        <v>0</v>
      </c>
      <c r="T19" s="149">
        <f>S19/S23</f>
        <v>0</v>
      </c>
      <c r="U19" s="316">
        <v>0</v>
      </c>
      <c r="V19" s="316">
        <v>0</v>
      </c>
      <c r="W19" s="316">
        <v>0</v>
      </c>
      <c r="X19" s="316">
        <v>0</v>
      </c>
      <c r="Y19" s="316">
        <v>0</v>
      </c>
      <c r="Z19" s="316">
        <v>0</v>
      </c>
      <c r="AA19" s="144">
        <f t="shared" si="10"/>
        <v>0</v>
      </c>
      <c r="AB19" s="149" t="e">
        <f>AA19/AA23</f>
        <v>#DIV/0!</v>
      </c>
      <c r="AC19" s="316">
        <v>0</v>
      </c>
      <c r="AD19" s="316">
        <v>0</v>
      </c>
      <c r="AE19" s="316">
        <v>0</v>
      </c>
      <c r="AF19" s="316">
        <v>0</v>
      </c>
      <c r="AG19" s="398">
        <v>0</v>
      </c>
      <c r="AH19" s="399">
        <v>0</v>
      </c>
      <c r="AI19" s="144">
        <f t="shared" si="11"/>
        <v>0</v>
      </c>
      <c r="AJ19" s="149" t="e">
        <f>AI19/AI23</f>
        <v>#DIV/0!</v>
      </c>
      <c r="AK19" s="37">
        <v>0</v>
      </c>
      <c r="AL19" s="26">
        <v>0</v>
      </c>
      <c r="AM19" s="26">
        <v>0</v>
      </c>
      <c r="AN19" s="306">
        <v>0</v>
      </c>
      <c r="AO19" s="26">
        <v>0</v>
      </c>
      <c r="AP19" s="26">
        <v>0</v>
      </c>
      <c r="AQ19" s="144">
        <f t="shared" si="8"/>
        <v>0</v>
      </c>
      <c r="AR19" s="149" t="e">
        <f>AQ19/AQ23</f>
        <v>#DIV/0!</v>
      </c>
      <c r="AS19" s="159">
        <f t="shared" si="1"/>
        <v>0</v>
      </c>
      <c r="AT19" s="155">
        <f>AS19/AS23</f>
        <v>0</v>
      </c>
    </row>
    <row r="20" spans="2:47" s="11" customFormat="1" ht="19.5" customHeight="1" thickBot="1">
      <c r="B20" s="551" t="s">
        <v>9</v>
      </c>
      <c r="C20" s="552"/>
      <c r="D20" s="45">
        <f>SUM(D17:D19)</f>
        <v>0</v>
      </c>
      <c r="E20" s="45">
        <f t="shared" ref="E20:J20" si="22">SUM(E17:E19)</f>
        <v>90</v>
      </c>
      <c r="F20" s="45">
        <f t="shared" si="22"/>
        <v>290</v>
      </c>
      <c r="G20" s="45">
        <f t="shared" si="22"/>
        <v>460</v>
      </c>
      <c r="H20" s="45">
        <f t="shared" si="22"/>
        <v>330</v>
      </c>
      <c r="I20" s="45">
        <f t="shared" si="22"/>
        <v>340</v>
      </c>
      <c r="J20" s="262">
        <f t="shared" si="22"/>
        <v>0</v>
      </c>
      <c r="K20" s="145">
        <f>SUM(D20:J20)</f>
        <v>1510</v>
      </c>
      <c r="L20" s="417">
        <f>K20/K23</f>
        <v>0.97671410090556277</v>
      </c>
      <c r="M20" s="46">
        <f t="shared" ref="M20:R20" si="23">SUM(M17:M19)</f>
        <v>310</v>
      </c>
      <c r="N20" s="45">
        <f t="shared" si="23"/>
        <v>380</v>
      </c>
      <c r="O20" s="45">
        <f t="shared" si="23"/>
        <v>776</v>
      </c>
      <c r="P20" s="45">
        <f t="shared" si="23"/>
        <v>360</v>
      </c>
      <c r="Q20" s="45">
        <f>SUM(Q17:Q19)</f>
        <v>0</v>
      </c>
      <c r="R20" s="45">
        <f t="shared" si="23"/>
        <v>0</v>
      </c>
      <c r="S20" s="145">
        <f>SUM(M20:R20)</f>
        <v>1826</v>
      </c>
      <c r="T20" s="150">
        <f>S20/S23</f>
        <v>0.98863021115322147</v>
      </c>
      <c r="U20" s="47">
        <f t="shared" ref="U20:Z20" si="24">SUM(U17:U19)</f>
        <v>0</v>
      </c>
      <c r="V20" s="45">
        <f t="shared" si="24"/>
        <v>0</v>
      </c>
      <c r="W20" s="45">
        <f t="shared" si="24"/>
        <v>0</v>
      </c>
      <c r="X20" s="45">
        <f t="shared" si="24"/>
        <v>0</v>
      </c>
      <c r="Y20" s="45">
        <f t="shared" si="24"/>
        <v>0</v>
      </c>
      <c r="Z20" s="45">
        <f t="shared" si="24"/>
        <v>0</v>
      </c>
      <c r="AA20" s="145">
        <f>SUM(U20:Z20)</f>
        <v>0</v>
      </c>
      <c r="AB20" s="150" t="e">
        <f>AA20/AA23</f>
        <v>#DIV/0!</v>
      </c>
      <c r="AC20" s="46">
        <f t="shared" ref="AC20:AH20" si="25">SUM(AC17:AC19)</f>
        <v>0</v>
      </c>
      <c r="AD20" s="45">
        <f t="shared" si="25"/>
        <v>0</v>
      </c>
      <c r="AE20" s="45">
        <f t="shared" si="25"/>
        <v>0</v>
      </c>
      <c r="AF20" s="45">
        <f t="shared" si="25"/>
        <v>0</v>
      </c>
      <c r="AG20" s="45">
        <f t="shared" si="25"/>
        <v>0</v>
      </c>
      <c r="AH20" s="45">
        <f t="shared" si="25"/>
        <v>0</v>
      </c>
      <c r="AI20" s="145">
        <f>SUM(AC20:AH20)</f>
        <v>0</v>
      </c>
      <c r="AJ20" s="150" t="e">
        <f>AI20/AI23</f>
        <v>#DIV/0!</v>
      </c>
      <c r="AK20" s="46">
        <f t="shared" ref="AK20:AP20" si="26">SUM(AK17:AK19)</f>
        <v>0</v>
      </c>
      <c r="AL20" s="45">
        <f t="shared" si="26"/>
        <v>0</v>
      </c>
      <c r="AM20" s="45">
        <f t="shared" si="26"/>
        <v>0</v>
      </c>
      <c r="AN20" s="45">
        <f t="shared" si="26"/>
        <v>0</v>
      </c>
      <c r="AO20" s="45">
        <f t="shared" si="26"/>
        <v>0</v>
      </c>
      <c r="AP20" s="45">
        <f t="shared" si="26"/>
        <v>0</v>
      </c>
      <c r="AQ20" s="145">
        <f>SUM(AK20:AP20)</f>
        <v>0</v>
      </c>
      <c r="AR20" s="150" t="e">
        <f>AQ20/AQ23</f>
        <v>#DIV/0!</v>
      </c>
      <c r="AS20" s="161">
        <f>+K20+S20+AA20+AI20+AQ20</f>
        <v>3336</v>
      </c>
      <c r="AT20" s="156">
        <f>AS20/AS23</f>
        <v>0.9832007073386384</v>
      </c>
    </row>
    <row r="21" spans="2:47" ht="13" thickTop="1">
      <c r="B21" s="536"/>
      <c r="C21" s="536"/>
      <c r="L21" s="24"/>
    </row>
    <row r="22" spans="2:47">
      <c r="I22" s="2" t="s">
        <v>46</v>
      </c>
      <c r="J22" s="2"/>
      <c r="K22" s="162">
        <f>+K8+K12+K16</f>
        <v>36</v>
      </c>
      <c r="L22" s="24">
        <f>K22/K23</f>
        <v>2.3285899094437259E-2</v>
      </c>
      <c r="M22" s="24"/>
      <c r="Q22" s="2" t="s">
        <v>145</v>
      </c>
      <c r="R22" s="2"/>
      <c r="S22" s="162">
        <f>+S8+S12+S16</f>
        <v>21</v>
      </c>
      <c r="T22" s="24">
        <f>S22/S23</f>
        <v>1.1369788846778559E-2</v>
      </c>
      <c r="U22" s="24"/>
      <c r="Y22" s="2" t="s">
        <v>144</v>
      </c>
      <c r="Z22" s="2"/>
      <c r="AA22" s="162">
        <f>+AA8+AA12+AA16</f>
        <v>0</v>
      </c>
      <c r="AB22" s="24" t="e">
        <f>AA22/AA23</f>
        <v>#DIV/0!</v>
      </c>
      <c r="AC22" s="24"/>
      <c r="AG22" s="2" t="s">
        <v>144</v>
      </c>
      <c r="AH22" s="2"/>
      <c r="AI22" s="162">
        <f>+AI8+AI12+AI16</f>
        <v>0</v>
      </c>
      <c r="AJ22" s="24" t="e">
        <f>AI22/AI23</f>
        <v>#DIV/0!</v>
      </c>
      <c r="AK22" s="24"/>
      <c r="AO22" s="2" t="s">
        <v>46</v>
      </c>
      <c r="AP22" s="2"/>
      <c r="AQ22" s="162">
        <f>+AQ8+AQ12+AQ16</f>
        <v>0</v>
      </c>
      <c r="AR22" s="24" t="e">
        <f>AQ22/AQ23</f>
        <v>#DIV/0!</v>
      </c>
      <c r="AS22" s="303">
        <f>+AS8+AS12+AS16</f>
        <v>57</v>
      </c>
      <c r="AT22" s="24">
        <f>+AT8+AT12+AT16</f>
        <v>1.6799292661361626E-2</v>
      </c>
      <c r="AU22" s="304">
        <f>AT12+AT16</f>
        <v>1.6799292661361626E-2</v>
      </c>
    </row>
    <row r="23" spans="2:47">
      <c r="I23" s="2" t="s">
        <v>45</v>
      </c>
      <c r="J23" s="2"/>
      <c r="K23" s="537">
        <f>+K22+K20</f>
        <v>1546</v>
      </c>
      <c r="L23" s="537"/>
      <c r="M23" s="2"/>
      <c r="Q23" s="2" t="s">
        <v>45</v>
      </c>
      <c r="R23" s="2"/>
      <c r="S23" s="537">
        <f>+S22+S20</f>
        <v>1847</v>
      </c>
      <c r="T23" s="537"/>
      <c r="U23" s="2"/>
      <c r="Y23" s="2" t="s">
        <v>45</v>
      </c>
      <c r="Z23" s="2"/>
      <c r="AA23" s="537">
        <f>+AA22+AA20</f>
        <v>0</v>
      </c>
      <c r="AB23" s="537"/>
      <c r="AC23" s="2"/>
      <c r="AG23" s="2" t="s">
        <v>45</v>
      </c>
      <c r="AH23" s="2"/>
      <c r="AI23" s="537">
        <f>+AI22+AI20</f>
        <v>0</v>
      </c>
      <c r="AJ23" s="537"/>
      <c r="AK23" s="2"/>
      <c r="AO23" s="2" t="s">
        <v>45</v>
      </c>
      <c r="AP23" s="2"/>
      <c r="AQ23" s="537">
        <f>+AQ22+AQ20</f>
        <v>0</v>
      </c>
      <c r="AR23" s="537"/>
      <c r="AS23" s="553">
        <f>+AS22+AS20</f>
        <v>3393</v>
      </c>
      <c r="AT23" s="554"/>
    </row>
    <row r="24" spans="2:47">
      <c r="Y24" s="2"/>
      <c r="Z24" s="2"/>
    </row>
  </sheetData>
  <mergeCells count="23">
    <mergeCell ref="AS23:AT23"/>
    <mergeCell ref="AA23:AB23"/>
    <mergeCell ref="AI4:AJ4"/>
    <mergeCell ref="AI23:AJ23"/>
    <mergeCell ref="AC3:AJ3"/>
    <mergeCell ref="AK3:AR3"/>
    <mergeCell ref="AQ4:AR4"/>
    <mergeCell ref="AQ23:AR23"/>
    <mergeCell ref="U3:AA3"/>
    <mergeCell ref="AA4:AB4"/>
    <mergeCell ref="AS3:AT4"/>
    <mergeCell ref="B21:C21"/>
    <mergeCell ref="K23:L23"/>
    <mergeCell ref="M3:T3"/>
    <mergeCell ref="S4:T4"/>
    <mergeCell ref="S23:T23"/>
    <mergeCell ref="B5:B8"/>
    <mergeCell ref="B13:B16"/>
    <mergeCell ref="B9:B12"/>
    <mergeCell ref="B17:B19"/>
    <mergeCell ref="B20:C20"/>
    <mergeCell ref="K4:L4"/>
    <mergeCell ref="D3:L3"/>
  </mergeCells>
  <pageMargins left="0" right="0" top="0.75" bottom="0.75" header="0.3" footer="0.3"/>
  <pageSetup paperSize="9" scale="45" orientation="landscape" horizontalDpi="0" verticalDpi="0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FF00"/>
  </sheetPr>
  <dimension ref="B2:AB237"/>
  <sheetViews>
    <sheetView zoomScale="85" zoomScaleNormal="85" workbookViewId="0">
      <pane xSplit="7" ySplit="4" topLeftCell="R5" activePane="bottomRight" state="frozen"/>
      <selection pane="topRight" activeCell="F1" sqref="F1"/>
      <selection pane="bottomLeft" activeCell="A5" sqref="A5"/>
      <selection pane="bottomRight" activeCell="C166" sqref="C166:Z168"/>
    </sheetView>
  </sheetViews>
  <sheetFormatPr defaultColWidth="9.1796875" defaultRowHeight="16"/>
  <cols>
    <col min="1" max="1" width="2.1796875" style="71" customWidth="1"/>
    <col min="2" max="2" width="11.54296875" style="71" bestFit="1" customWidth="1"/>
    <col min="3" max="4" width="11.54296875" style="71" customWidth="1"/>
    <col min="5" max="5" width="30.7265625" style="71" customWidth="1"/>
    <col min="6" max="6" width="24" style="71" bestFit="1" customWidth="1"/>
    <col min="7" max="7" width="6.453125" style="78" customWidth="1"/>
    <col min="8" max="8" width="12.453125" style="78" customWidth="1"/>
    <col min="9" max="26" width="12.453125" style="71" customWidth="1"/>
    <col min="27" max="27" width="9.7265625" style="71" customWidth="1"/>
    <col min="28" max="28" width="12" style="71" customWidth="1"/>
    <col min="29" max="29" width="1.26953125" style="71" customWidth="1"/>
    <col min="30" max="16384" width="9.1796875" style="71"/>
  </cols>
  <sheetData>
    <row r="2" spans="2:28" ht="25.5" customHeight="1">
      <c r="B2" s="565" t="s">
        <v>140</v>
      </c>
      <c r="C2" s="565"/>
      <c r="D2" s="565"/>
      <c r="E2" s="565"/>
      <c r="F2" s="565"/>
      <c r="G2" s="56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</row>
    <row r="3" spans="2:28" ht="12" customHeight="1"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3"/>
    </row>
    <row r="4" spans="2:28" ht="30.5" thickBot="1">
      <c r="B4" s="84" t="s">
        <v>50</v>
      </c>
      <c r="C4" s="84" t="s">
        <v>51</v>
      </c>
      <c r="D4" s="84" t="s">
        <v>48</v>
      </c>
      <c r="E4" s="84" t="s">
        <v>52</v>
      </c>
      <c r="F4" s="84" t="s">
        <v>53</v>
      </c>
      <c r="G4" s="84" t="s">
        <v>54</v>
      </c>
      <c r="H4" s="84" t="s">
        <v>12</v>
      </c>
      <c r="I4" s="84" t="s">
        <v>86</v>
      </c>
      <c r="J4" s="84" t="s">
        <v>87</v>
      </c>
      <c r="K4" s="84" t="s">
        <v>113</v>
      </c>
      <c r="L4" s="84" t="s">
        <v>111</v>
      </c>
      <c r="M4" s="84" t="s">
        <v>112</v>
      </c>
      <c r="N4" s="84" t="s">
        <v>15</v>
      </c>
      <c r="O4" s="84" t="s">
        <v>14</v>
      </c>
      <c r="P4" s="84" t="s">
        <v>47</v>
      </c>
      <c r="Q4" s="84" t="s">
        <v>55</v>
      </c>
      <c r="R4" s="84" t="s">
        <v>56</v>
      </c>
      <c r="S4" s="84" t="s">
        <v>138</v>
      </c>
      <c r="T4" s="84" t="s">
        <v>58</v>
      </c>
      <c r="U4" s="84" t="s">
        <v>92</v>
      </c>
      <c r="V4" s="84" t="s">
        <v>59</v>
      </c>
      <c r="W4" s="84" t="s">
        <v>60</v>
      </c>
      <c r="X4" s="84" t="s">
        <v>61</v>
      </c>
      <c r="Y4" s="84" t="s">
        <v>62</v>
      </c>
      <c r="Z4" s="135" t="s">
        <v>82</v>
      </c>
      <c r="AA4" s="288" t="s">
        <v>16</v>
      </c>
      <c r="AB4" s="87" t="s">
        <v>21</v>
      </c>
    </row>
    <row r="5" spans="2:28" s="83" customFormat="1" ht="15" hidden="1">
      <c r="B5" s="79" t="s">
        <v>64</v>
      </c>
      <c r="C5" s="79"/>
      <c r="D5" s="80"/>
      <c r="E5" s="81"/>
      <c r="F5" s="81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75"/>
      <c r="AA5" s="193">
        <f>SUM(H5:Y5)</f>
        <v>0</v>
      </c>
      <c r="AB5" s="105">
        <f>SUM(AA5:AA6)</f>
        <v>0</v>
      </c>
    </row>
    <row r="6" spans="2:28" s="83" customFormat="1" ht="15.5" hidden="1" thickBot="1">
      <c r="B6" s="79" t="s">
        <v>64</v>
      </c>
      <c r="C6" s="79"/>
      <c r="D6" s="80"/>
      <c r="E6" s="81"/>
      <c r="F6" s="81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75"/>
      <c r="AA6" s="193">
        <f t="shared" ref="AA6:AA13" si="0">SUM(H6:Y6)</f>
        <v>0</v>
      </c>
      <c r="AB6" s="231"/>
    </row>
    <row r="7" spans="2:28" s="83" customFormat="1" ht="15.5" hidden="1" thickBot="1">
      <c r="B7" s="79" t="s">
        <v>64</v>
      </c>
      <c r="C7" s="79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75"/>
      <c r="AA7" s="193">
        <f t="shared" si="0"/>
        <v>0</v>
      </c>
      <c r="AB7" s="401"/>
    </row>
    <row r="8" spans="2:28" s="83" customFormat="1" ht="15">
      <c r="B8" s="79" t="s">
        <v>64</v>
      </c>
      <c r="C8" s="79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75"/>
      <c r="AA8" s="193">
        <f t="shared" si="0"/>
        <v>0</v>
      </c>
      <c r="AB8" s="561">
        <f>SUM(AA8:AA9)</f>
        <v>0</v>
      </c>
    </row>
    <row r="9" spans="2:28" s="83" customFormat="1" ht="15.5" thickBot="1">
      <c r="B9" s="79" t="s">
        <v>64</v>
      </c>
      <c r="C9" s="79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75"/>
      <c r="AA9" s="193">
        <f t="shared" si="0"/>
        <v>0</v>
      </c>
      <c r="AB9" s="564"/>
    </row>
    <row r="10" spans="2:28" s="83" customFormat="1" ht="15" hidden="1">
      <c r="B10" s="79" t="s">
        <v>64</v>
      </c>
      <c r="C10" s="79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75"/>
      <c r="AA10" s="193">
        <f t="shared" si="0"/>
        <v>0</v>
      </c>
      <c r="AB10" s="562">
        <f>SUM(AA10:AA11)</f>
        <v>0</v>
      </c>
    </row>
    <row r="11" spans="2:28" s="83" customFormat="1" ht="15.5" hidden="1" thickBot="1">
      <c r="B11" s="79" t="s">
        <v>64</v>
      </c>
      <c r="C11" s="79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75"/>
      <c r="AA11" s="193">
        <f t="shared" si="0"/>
        <v>0</v>
      </c>
      <c r="AB11" s="563"/>
    </row>
    <row r="12" spans="2:28" s="83" customFormat="1" ht="15" hidden="1">
      <c r="B12" s="79" t="s">
        <v>64</v>
      </c>
      <c r="C12" s="79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75"/>
      <c r="AA12" s="193">
        <f t="shared" si="0"/>
        <v>0</v>
      </c>
      <c r="AB12" s="281"/>
    </row>
    <row r="13" spans="2:28" s="83" customFormat="1" ht="15.5" hidden="1" thickBot="1">
      <c r="B13" s="79" t="s">
        <v>64</v>
      </c>
      <c r="C13" s="79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75"/>
      <c r="AA13" s="193">
        <f t="shared" si="0"/>
        <v>0</v>
      </c>
      <c r="AB13" s="385"/>
    </row>
    <row r="14" spans="2:28" s="83" customFormat="1" ht="15" hidden="1">
      <c r="B14" s="79" t="s">
        <v>64</v>
      </c>
      <c r="C14" s="79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75"/>
      <c r="AA14" s="76">
        <f t="shared" ref="AA14:AA23" si="1">SUM(H14:Y14)</f>
        <v>0</v>
      </c>
      <c r="AB14" s="561">
        <f>SUM(AA14:AA15)</f>
        <v>0</v>
      </c>
    </row>
    <row r="15" spans="2:28" s="83" customFormat="1" ht="15.5" hidden="1" thickBot="1">
      <c r="B15" s="79" t="s">
        <v>64</v>
      </c>
      <c r="C15" s="79"/>
      <c r="D15" s="80"/>
      <c r="E15" s="81"/>
      <c r="F15" s="81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75"/>
      <c r="AA15" s="76">
        <f t="shared" si="1"/>
        <v>0</v>
      </c>
      <c r="AB15" s="563"/>
    </row>
    <row r="16" spans="2:28" s="83" customFormat="1" ht="15.5" hidden="1" thickBot="1">
      <c r="B16" s="79" t="s">
        <v>64</v>
      </c>
      <c r="C16" s="79"/>
      <c r="D16" s="80"/>
      <c r="E16" s="81"/>
      <c r="F16" s="81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75"/>
      <c r="AA16" s="76">
        <f t="shared" si="1"/>
        <v>0</v>
      </c>
      <c r="AB16" s="385">
        <f>AA16</f>
        <v>0</v>
      </c>
    </row>
    <row r="17" spans="2:28" s="83" customFormat="1" ht="15" hidden="1">
      <c r="B17" s="79" t="s">
        <v>64</v>
      </c>
      <c r="C17" s="79"/>
      <c r="D17" s="80"/>
      <c r="E17" s="81"/>
      <c r="F17" s="81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75"/>
      <c r="AA17" s="76">
        <f t="shared" si="1"/>
        <v>0</v>
      </c>
      <c r="AB17" s="561">
        <f>SUM(AA17:AA19)</f>
        <v>0</v>
      </c>
    </row>
    <row r="18" spans="2:28" s="83" customFormat="1" ht="15" hidden="1">
      <c r="B18" s="79" t="s">
        <v>64</v>
      </c>
      <c r="C18" s="79"/>
      <c r="D18" s="80"/>
      <c r="E18" s="81"/>
      <c r="F18" s="81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75"/>
      <c r="AA18" s="76">
        <f t="shared" si="1"/>
        <v>0</v>
      </c>
      <c r="AB18" s="562"/>
    </row>
    <row r="19" spans="2:28" s="83" customFormat="1" ht="15.5" hidden="1" thickBot="1">
      <c r="B19" s="79" t="s">
        <v>64</v>
      </c>
      <c r="C19" s="79"/>
      <c r="D19" s="80"/>
      <c r="E19" s="81"/>
      <c r="F19" s="81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75"/>
      <c r="AA19" s="76">
        <f t="shared" si="1"/>
        <v>0</v>
      </c>
      <c r="AB19" s="563"/>
    </row>
    <row r="20" spans="2:28" s="83" customFormat="1" ht="15" hidden="1">
      <c r="B20" s="79" t="s">
        <v>64</v>
      </c>
      <c r="C20" s="79"/>
      <c r="D20" s="80"/>
      <c r="E20" s="81"/>
      <c r="F20" s="81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75"/>
      <c r="AA20" s="76">
        <f t="shared" si="1"/>
        <v>0</v>
      </c>
      <c r="AB20" s="191"/>
    </row>
    <row r="21" spans="2:28" s="83" customFormat="1" ht="15" hidden="1">
      <c r="B21" s="79" t="s">
        <v>64</v>
      </c>
      <c r="C21" s="79"/>
      <c r="D21" s="80"/>
      <c r="E21" s="81"/>
      <c r="F21" s="81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75"/>
      <c r="AA21" s="76">
        <f t="shared" si="1"/>
        <v>0</v>
      </c>
      <c r="AB21" s="191"/>
    </row>
    <row r="22" spans="2:28" s="83" customFormat="1" ht="15.5" hidden="1" thickBot="1">
      <c r="B22" s="79" t="s">
        <v>64</v>
      </c>
      <c r="C22" s="79"/>
      <c r="D22" s="80"/>
      <c r="E22" s="81"/>
      <c r="F22" s="81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1"/>
      <c r="U22" s="81"/>
      <c r="V22" s="80"/>
      <c r="W22" s="80"/>
      <c r="X22" s="80"/>
      <c r="Y22" s="80"/>
      <c r="Z22" s="75"/>
      <c r="AA22" s="76">
        <f t="shared" si="1"/>
        <v>0</v>
      </c>
      <c r="AB22" s="231"/>
    </row>
    <row r="23" spans="2:28" s="83" customFormat="1" ht="15" hidden="1">
      <c r="B23" s="79" t="s">
        <v>64</v>
      </c>
      <c r="C23" s="79"/>
      <c r="D23" s="80"/>
      <c r="E23" s="81"/>
      <c r="F23" s="81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75"/>
      <c r="AA23" s="76">
        <f t="shared" si="1"/>
        <v>0</v>
      </c>
      <c r="AB23" s="561">
        <f>SUM(AA23:AA37)</f>
        <v>0</v>
      </c>
    </row>
    <row r="24" spans="2:28" s="83" customFormat="1" ht="15" hidden="1">
      <c r="B24" s="79" t="s">
        <v>64</v>
      </c>
      <c r="C24" s="79"/>
      <c r="D24" s="80"/>
      <c r="E24" s="81"/>
      <c r="F24" s="81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75"/>
      <c r="AA24" s="76">
        <f>SUM(H24:Z24)</f>
        <v>0</v>
      </c>
      <c r="AB24" s="562"/>
    </row>
    <row r="25" spans="2:28" s="83" customFormat="1" ht="15" hidden="1">
      <c r="B25" s="79" t="s">
        <v>64</v>
      </c>
      <c r="C25" s="79"/>
      <c r="D25" s="80"/>
      <c r="E25" s="81"/>
      <c r="F25" s="81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75"/>
      <c r="AA25" s="76">
        <f t="shared" ref="AA25:AA34" si="2">SUM(H25:Z25)</f>
        <v>0</v>
      </c>
      <c r="AB25" s="562"/>
    </row>
    <row r="26" spans="2:28" s="83" customFormat="1" ht="15" hidden="1">
      <c r="B26" s="79" t="s">
        <v>64</v>
      </c>
      <c r="C26" s="79"/>
      <c r="D26" s="80"/>
      <c r="E26" s="81"/>
      <c r="F26" s="81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75"/>
      <c r="AA26" s="76">
        <f t="shared" si="2"/>
        <v>0</v>
      </c>
      <c r="AB26" s="562"/>
    </row>
    <row r="27" spans="2:28" s="83" customFormat="1" ht="15" hidden="1">
      <c r="B27" s="79" t="s">
        <v>64</v>
      </c>
      <c r="C27" s="79"/>
      <c r="D27" s="80"/>
      <c r="E27" s="81"/>
      <c r="F27" s="81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75"/>
      <c r="AA27" s="76">
        <f t="shared" si="2"/>
        <v>0</v>
      </c>
      <c r="AB27" s="562"/>
    </row>
    <row r="28" spans="2:28" s="83" customFormat="1" ht="15" hidden="1">
      <c r="B28" s="79" t="s">
        <v>64</v>
      </c>
      <c r="C28" s="79"/>
      <c r="D28" s="80"/>
      <c r="E28" s="81"/>
      <c r="F28" s="81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75"/>
      <c r="AA28" s="76">
        <f t="shared" si="2"/>
        <v>0</v>
      </c>
      <c r="AB28" s="562"/>
    </row>
    <row r="29" spans="2:28" s="83" customFormat="1" ht="15" hidden="1">
      <c r="B29" s="79" t="s">
        <v>64</v>
      </c>
      <c r="C29" s="79"/>
      <c r="D29" s="80"/>
      <c r="E29" s="81"/>
      <c r="F29" s="81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75"/>
      <c r="AA29" s="76">
        <f t="shared" si="2"/>
        <v>0</v>
      </c>
      <c r="AB29" s="562"/>
    </row>
    <row r="30" spans="2:28" s="83" customFormat="1" ht="15" hidden="1">
      <c r="B30" s="79" t="s">
        <v>64</v>
      </c>
      <c r="C30" s="79"/>
      <c r="D30" s="80"/>
      <c r="E30" s="81"/>
      <c r="F30" s="81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75"/>
      <c r="AA30" s="76">
        <f t="shared" si="2"/>
        <v>0</v>
      </c>
      <c r="AB30" s="562"/>
    </row>
    <row r="31" spans="2:28" s="83" customFormat="1" ht="15" hidden="1">
      <c r="B31" s="79" t="s">
        <v>64</v>
      </c>
      <c r="C31" s="79"/>
      <c r="D31" s="80"/>
      <c r="E31" s="81"/>
      <c r="F31" s="81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75"/>
      <c r="AA31" s="76">
        <f t="shared" si="2"/>
        <v>0</v>
      </c>
      <c r="AB31" s="562"/>
    </row>
    <row r="32" spans="2:28" s="83" customFormat="1" ht="15" hidden="1">
      <c r="B32" s="79" t="s">
        <v>64</v>
      </c>
      <c r="C32" s="79"/>
      <c r="D32" s="80"/>
      <c r="E32" s="81"/>
      <c r="F32" s="81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75"/>
      <c r="AA32" s="76">
        <f t="shared" si="2"/>
        <v>0</v>
      </c>
      <c r="AB32" s="562"/>
    </row>
    <row r="33" spans="2:28" s="83" customFormat="1" ht="15" hidden="1">
      <c r="B33" s="79" t="s">
        <v>64</v>
      </c>
      <c r="C33" s="79"/>
      <c r="D33" s="80"/>
      <c r="E33" s="81"/>
      <c r="F33" s="81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75"/>
      <c r="AA33" s="76">
        <f t="shared" si="2"/>
        <v>0</v>
      </c>
      <c r="AB33" s="562"/>
    </row>
    <row r="34" spans="2:28" s="83" customFormat="1" ht="15" hidden="1">
      <c r="B34" s="79" t="s">
        <v>64</v>
      </c>
      <c r="C34" s="79"/>
      <c r="D34" s="80"/>
      <c r="E34" s="81"/>
      <c r="F34" s="81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75"/>
      <c r="AA34" s="76">
        <f t="shared" si="2"/>
        <v>0</v>
      </c>
      <c r="AB34" s="562"/>
    </row>
    <row r="35" spans="2:28" s="83" customFormat="1" ht="15" hidden="1">
      <c r="B35" s="79" t="s">
        <v>64</v>
      </c>
      <c r="C35" s="79"/>
      <c r="D35" s="80"/>
      <c r="E35" s="81"/>
      <c r="F35" s="81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75"/>
      <c r="AA35" s="76">
        <f>SUM(H35:Z35)</f>
        <v>0</v>
      </c>
      <c r="AB35" s="562"/>
    </row>
    <row r="36" spans="2:28" s="83" customFormat="1" ht="15" hidden="1">
      <c r="B36" s="79" t="s">
        <v>64</v>
      </c>
      <c r="C36" s="79"/>
      <c r="D36" s="80"/>
      <c r="E36" s="81"/>
      <c r="F36" s="81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75"/>
      <c r="AA36" s="76">
        <f t="shared" ref="AA36:AA51" si="3">SUM(H36:Z36)</f>
        <v>0</v>
      </c>
      <c r="AB36" s="562"/>
    </row>
    <row r="37" spans="2:28" s="83" customFormat="1" ht="15.5" hidden="1" thickBot="1">
      <c r="B37" s="79" t="s">
        <v>64</v>
      </c>
      <c r="C37" s="79"/>
      <c r="D37" s="80"/>
      <c r="E37" s="81"/>
      <c r="F37" s="81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75"/>
      <c r="AA37" s="76">
        <f t="shared" si="3"/>
        <v>0</v>
      </c>
      <c r="AB37" s="563"/>
    </row>
    <row r="38" spans="2:28" s="83" customFormat="1" ht="15" hidden="1">
      <c r="B38" s="79" t="s">
        <v>64</v>
      </c>
      <c r="C38" s="82"/>
      <c r="D38" s="81"/>
      <c r="E38" s="81"/>
      <c r="F38" s="81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75"/>
      <c r="AA38" s="76">
        <f t="shared" si="3"/>
        <v>0</v>
      </c>
      <c r="AB38" s="561">
        <f>SUM(AA38:AA47)</f>
        <v>0</v>
      </c>
    </row>
    <row r="39" spans="2:28" s="83" customFormat="1" ht="15" hidden="1">
      <c r="B39" s="79" t="s">
        <v>64</v>
      </c>
      <c r="C39" s="82"/>
      <c r="D39" s="81"/>
      <c r="E39" s="81"/>
      <c r="F39" s="81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75"/>
      <c r="AA39" s="76">
        <f t="shared" si="3"/>
        <v>0</v>
      </c>
      <c r="AB39" s="562"/>
    </row>
    <row r="40" spans="2:28" s="83" customFormat="1" ht="15" hidden="1">
      <c r="B40" s="79" t="s">
        <v>64</v>
      </c>
      <c r="C40" s="82"/>
      <c r="D40" s="81"/>
      <c r="E40" s="81"/>
      <c r="F40" s="81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75"/>
      <c r="AA40" s="76">
        <f t="shared" si="3"/>
        <v>0</v>
      </c>
      <c r="AB40" s="562"/>
    </row>
    <row r="41" spans="2:28" s="83" customFormat="1" ht="15" hidden="1">
      <c r="B41" s="79" t="s">
        <v>64</v>
      </c>
      <c r="C41" s="82"/>
      <c r="D41" s="81"/>
      <c r="E41" s="81"/>
      <c r="F41" s="81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75"/>
      <c r="AA41" s="76">
        <f t="shared" si="3"/>
        <v>0</v>
      </c>
      <c r="AB41" s="562"/>
    </row>
    <row r="42" spans="2:28" s="83" customFormat="1" ht="15" hidden="1">
      <c r="B42" s="79" t="s">
        <v>64</v>
      </c>
      <c r="C42" s="82"/>
      <c r="D42" s="81"/>
      <c r="E42" s="81"/>
      <c r="F42" s="81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75"/>
      <c r="AA42" s="76">
        <f t="shared" si="3"/>
        <v>0</v>
      </c>
      <c r="AB42" s="562"/>
    </row>
    <row r="43" spans="2:28" s="83" customFormat="1" ht="15" hidden="1">
      <c r="B43" s="79" t="s">
        <v>64</v>
      </c>
      <c r="C43" s="82"/>
      <c r="D43" s="81"/>
      <c r="E43" s="81"/>
      <c r="F43" s="81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75"/>
      <c r="AA43" s="76">
        <f t="shared" si="3"/>
        <v>0</v>
      </c>
      <c r="AB43" s="562"/>
    </row>
    <row r="44" spans="2:28" s="83" customFormat="1" ht="15" hidden="1">
      <c r="B44" s="79" t="s">
        <v>64</v>
      </c>
      <c r="C44" s="82"/>
      <c r="D44" s="81"/>
      <c r="E44" s="81"/>
      <c r="F44" s="81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75"/>
      <c r="AA44" s="76">
        <f t="shared" si="3"/>
        <v>0</v>
      </c>
      <c r="AB44" s="562"/>
    </row>
    <row r="45" spans="2:28" s="83" customFormat="1" ht="15" hidden="1">
      <c r="B45" s="79" t="s">
        <v>64</v>
      </c>
      <c r="C45" s="82"/>
      <c r="D45" s="81"/>
      <c r="E45" s="81"/>
      <c r="F45" s="81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75"/>
      <c r="AA45" s="76">
        <f t="shared" si="3"/>
        <v>0</v>
      </c>
      <c r="AB45" s="562"/>
    </row>
    <row r="46" spans="2:28" s="83" customFormat="1" ht="15" hidden="1">
      <c r="B46" s="79" t="s">
        <v>64</v>
      </c>
      <c r="C46" s="82"/>
      <c r="D46" s="81"/>
      <c r="E46" s="81"/>
      <c r="F46" s="81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75"/>
      <c r="AA46" s="76">
        <f t="shared" si="3"/>
        <v>0</v>
      </c>
      <c r="AB46" s="562"/>
    </row>
    <row r="47" spans="2:28" s="83" customFormat="1" ht="15" hidden="1">
      <c r="B47" s="79" t="s">
        <v>64</v>
      </c>
      <c r="C47" s="82"/>
      <c r="D47" s="81"/>
      <c r="E47" s="81"/>
      <c r="F47" s="81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75"/>
      <c r="AA47" s="76">
        <f t="shared" si="3"/>
        <v>0</v>
      </c>
      <c r="AB47" s="564"/>
    </row>
    <row r="48" spans="2:28" s="83" customFormat="1" ht="15" hidden="1">
      <c r="B48" s="79" t="s">
        <v>64</v>
      </c>
      <c r="C48" s="82"/>
      <c r="D48" s="81"/>
      <c r="E48" s="81"/>
      <c r="F48" s="81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75"/>
      <c r="AA48" s="76">
        <f t="shared" si="3"/>
        <v>0</v>
      </c>
      <c r="AB48" s="97"/>
    </row>
    <row r="49" spans="2:28" s="83" customFormat="1" ht="15" hidden="1">
      <c r="B49" s="79" t="s">
        <v>64</v>
      </c>
      <c r="C49" s="82"/>
      <c r="D49" s="81"/>
      <c r="E49" s="81"/>
      <c r="F49" s="81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75"/>
      <c r="AA49" s="76">
        <f t="shared" si="3"/>
        <v>0</v>
      </c>
      <c r="AB49" s="97"/>
    </row>
    <row r="50" spans="2:28" s="83" customFormat="1" ht="15" hidden="1">
      <c r="B50" s="79" t="s">
        <v>64</v>
      </c>
      <c r="C50" s="82"/>
      <c r="D50" s="81"/>
      <c r="E50" s="81"/>
      <c r="F50" s="81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75"/>
      <c r="AA50" s="76">
        <f t="shared" si="3"/>
        <v>0</v>
      </c>
      <c r="AB50" s="97"/>
    </row>
    <row r="51" spans="2:28" s="83" customFormat="1" ht="15" hidden="1">
      <c r="B51" s="88" t="s">
        <v>64</v>
      </c>
      <c r="C51" s="89"/>
      <c r="D51" s="90"/>
      <c r="E51" s="90"/>
      <c r="F51" s="90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75"/>
      <c r="AA51" s="76">
        <f t="shared" si="3"/>
        <v>0</v>
      </c>
      <c r="AB51" s="105"/>
    </row>
    <row r="52" spans="2:28" s="83" customFormat="1" thickTop="1" thickBot="1">
      <c r="B52" s="94" t="s">
        <v>66</v>
      </c>
      <c r="C52" s="571" t="s">
        <v>49</v>
      </c>
      <c r="D52" s="571"/>
      <c r="E52" s="571"/>
      <c r="F52" s="571"/>
      <c r="G52" s="571"/>
      <c r="H52" s="95">
        <f>SUM(H5:H51)</f>
        <v>0</v>
      </c>
      <c r="I52" s="95">
        <f t="shared" ref="I52:Z52" si="4">SUM(I5:I51)</f>
        <v>0</v>
      </c>
      <c r="J52" s="95">
        <f t="shared" si="4"/>
        <v>0</v>
      </c>
      <c r="K52" s="95">
        <f t="shared" si="4"/>
        <v>0</v>
      </c>
      <c r="L52" s="95">
        <f t="shared" si="4"/>
        <v>0</v>
      </c>
      <c r="M52" s="95">
        <f>SUM(M5:M51)</f>
        <v>0</v>
      </c>
      <c r="N52" s="95">
        <f t="shared" si="4"/>
        <v>0</v>
      </c>
      <c r="O52" s="95">
        <f t="shared" si="4"/>
        <v>0</v>
      </c>
      <c r="P52" s="95">
        <f t="shared" si="4"/>
        <v>0</v>
      </c>
      <c r="Q52" s="100">
        <f t="shared" si="4"/>
        <v>0</v>
      </c>
      <c r="R52" s="101">
        <f t="shared" si="4"/>
        <v>0</v>
      </c>
      <c r="S52" s="101">
        <f t="shared" si="4"/>
        <v>0</v>
      </c>
      <c r="T52" s="101">
        <f t="shared" si="4"/>
        <v>0</v>
      </c>
      <c r="U52" s="101">
        <f t="shared" si="4"/>
        <v>0</v>
      </c>
      <c r="V52" s="103">
        <f t="shared" si="4"/>
        <v>0</v>
      </c>
      <c r="W52" s="100">
        <f t="shared" si="4"/>
        <v>0</v>
      </c>
      <c r="X52" s="101">
        <f t="shared" si="4"/>
        <v>0</v>
      </c>
      <c r="Y52" s="102">
        <f t="shared" si="4"/>
        <v>0</v>
      </c>
      <c r="Z52" s="106">
        <f t="shared" si="4"/>
        <v>0</v>
      </c>
      <c r="AA52" s="106">
        <f>SUM(AA5:AA51)</f>
        <v>0</v>
      </c>
      <c r="AB52" s="93">
        <f>SUM(AB5:AB51)</f>
        <v>0</v>
      </c>
    </row>
    <row r="53" spans="2:28" s="83" customFormat="1" thickTop="1" thickBot="1">
      <c r="B53" s="98" t="s">
        <v>66</v>
      </c>
      <c r="C53" s="573" t="s">
        <v>49</v>
      </c>
      <c r="D53" s="573"/>
      <c r="E53" s="573"/>
      <c r="F53" s="573"/>
      <c r="G53" s="573"/>
      <c r="H53" s="99">
        <f>H52</f>
        <v>0</v>
      </c>
      <c r="I53" s="569">
        <f>+I52+J52</f>
        <v>0</v>
      </c>
      <c r="J53" s="570"/>
      <c r="K53" s="99">
        <f t="shared" ref="K53:P53" si="5">K52</f>
        <v>0</v>
      </c>
      <c r="L53" s="99">
        <f t="shared" si="5"/>
        <v>0</v>
      </c>
      <c r="M53" s="99">
        <f t="shared" si="5"/>
        <v>0</v>
      </c>
      <c r="N53" s="99">
        <f t="shared" si="5"/>
        <v>0</v>
      </c>
      <c r="O53" s="99">
        <f t="shared" si="5"/>
        <v>0</v>
      </c>
      <c r="P53" s="99">
        <f t="shared" si="5"/>
        <v>0</v>
      </c>
      <c r="Q53" s="572">
        <f>+Q52+R52+S52+T52+V52</f>
        <v>0</v>
      </c>
      <c r="R53" s="572"/>
      <c r="S53" s="572"/>
      <c r="T53" s="572"/>
      <c r="U53" s="572"/>
      <c r="V53" s="572"/>
      <c r="W53" s="572">
        <f>+W52+X52+Y52</f>
        <v>0</v>
      </c>
      <c r="X53" s="572"/>
      <c r="Y53" s="572"/>
      <c r="Z53" s="99">
        <f>Z52</f>
        <v>0</v>
      </c>
      <c r="AA53" s="99">
        <f>AA52</f>
        <v>0</v>
      </c>
      <c r="AB53" s="99">
        <f>AB52</f>
        <v>0</v>
      </c>
    </row>
    <row r="54" spans="2:28" s="83" customFormat="1" ht="15.5" hidden="1" thickTop="1">
      <c r="B54" s="79" t="s">
        <v>63</v>
      </c>
      <c r="C54" s="79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75"/>
      <c r="AA54" s="96">
        <f>SUM(H54:Z54)</f>
        <v>0</v>
      </c>
      <c r="AB54" s="566">
        <f>SUM(AA54:AA57)</f>
        <v>0</v>
      </c>
    </row>
    <row r="55" spans="2:28" s="83" customFormat="1" ht="15" hidden="1">
      <c r="B55" s="79" t="s">
        <v>63</v>
      </c>
      <c r="C55" s="79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75"/>
      <c r="AA55" s="96">
        <f t="shared" ref="AA55:AA123" si="6">SUM(H55:Z55)</f>
        <v>0</v>
      </c>
      <c r="AB55" s="567"/>
    </row>
    <row r="56" spans="2:28" s="83" customFormat="1" ht="15" hidden="1">
      <c r="B56" s="79" t="s">
        <v>63</v>
      </c>
      <c r="C56" s="79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75"/>
      <c r="AA56" s="96">
        <f t="shared" si="6"/>
        <v>0</v>
      </c>
      <c r="AB56" s="567"/>
    </row>
    <row r="57" spans="2:28" s="83" customFormat="1" ht="15.5" hidden="1" thickBot="1">
      <c r="B57" s="79" t="s">
        <v>63</v>
      </c>
      <c r="C57" s="79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75"/>
      <c r="AA57" s="96">
        <f t="shared" si="6"/>
        <v>0</v>
      </c>
      <c r="AB57" s="568"/>
    </row>
    <row r="58" spans="2:28" s="83" customFormat="1" ht="15" hidden="1">
      <c r="B58" s="79" t="s">
        <v>63</v>
      </c>
      <c r="C58" s="79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75"/>
      <c r="AA58" s="96">
        <f t="shared" si="6"/>
        <v>0</v>
      </c>
      <c r="AB58" s="422"/>
    </row>
    <row r="59" spans="2:28" s="83" customFormat="1" ht="15" hidden="1">
      <c r="B59" s="79" t="s">
        <v>63</v>
      </c>
      <c r="C59" s="79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75"/>
      <c r="AA59" s="96">
        <f t="shared" si="6"/>
        <v>0</v>
      </c>
      <c r="AB59" s="422"/>
    </row>
    <row r="60" spans="2:28" s="83" customFormat="1" ht="15" hidden="1">
      <c r="B60" s="79" t="s">
        <v>63</v>
      </c>
      <c r="C60" s="79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75"/>
      <c r="AA60" s="96">
        <f t="shared" si="6"/>
        <v>0</v>
      </c>
      <c r="AB60" s="422"/>
    </row>
    <row r="61" spans="2:28" s="83" customFormat="1" ht="15" hidden="1">
      <c r="B61" s="79" t="s">
        <v>63</v>
      </c>
      <c r="C61" s="79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75"/>
      <c r="AA61" s="96">
        <f t="shared" si="6"/>
        <v>0</v>
      </c>
      <c r="AB61" s="422"/>
    </row>
    <row r="62" spans="2:28" s="83" customFormat="1" ht="15" hidden="1">
      <c r="B62" s="79" t="s">
        <v>63</v>
      </c>
      <c r="C62" s="79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75"/>
      <c r="AA62" s="96">
        <f t="shared" si="6"/>
        <v>0</v>
      </c>
      <c r="AB62" s="422"/>
    </row>
    <row r="63" spans="2:28" s="83" customFormat="1" ht="15" hidden="1">
      <c r="B63" s="79" t="s">
        <v>63</v>
      </c>
      <c r="C63" s="79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75"/>
      <c r="AA63" s="96">
        <f t="shared" si="6"/>
        <v>0</v>
      </c>
      <c r="AB63" s="422"/>
    </row>
    <row r="64" spans="2:28" s="83" customFormat="1" ht="15" hidden="1">
      <c r="B64" s="79" t="s">
        <v>63</v>
      </c>
      <c r="C64" s="79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75"/>
      <c r="AA64" s="96">
        <f t="shared" si="6"/>
        <v>0</v>
      </c>
      <c r="AB64" s="422"/>
    </row>
    <row r="65" spans="2:28" s="83" customFormat="1" ht="15" hidden="1">
      <c r="B65" s="79" t="s">
        <v>63</v>
      </c>
      <c r="C65" s="79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75"/>
      <c r="AA65" s="96">
        <f>SUM(H65:Z65)</f>
        <v>0</v>
      </c>
      <c r="AB65" s="422"/>
    </row>
    <row r="66" spans="2:28" s="83" customFormat="1" ht="15" hidden="1">
      <c r="B66" s="79" t="s">
        <v>63</v>
      </c>
      <c r="C66" s="79"/>
      <c r="D66" s="80"/>
      <c r="E66" s="80"/>
      <c r="F66" s="80"/>
      <c r="G66" s="208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75"/>
      <c r="AA66" s="96">
        <f t="shared" si="6"/>
        <v>0</v>
      </c>
      <c r="AB66" s="422"/>
    </row>
    <row r="67" spans="2:28" s="83" customFormat="1" ht="15" hidden="1">
      <c r="B67" s="79" t="s">
        <v>63</v>
      </c>
      <c r="C67" s="79"/>
      <c r="D67" s="80"/>
      <c r="E67" s="80"/>
      <c r="F67" s="80"/>
      <c r="G67" s="208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75"/>
      <c r="AA67" s="96">
        <f t="shared" si="6"/>
        <v>0</v>
      </c>
      <c r="AB67" s="422"/>
    </row>
    <row r="68" spans="2:28" s="83" customFormat="1" ht="15" hidden="1">
      <c r="B68" s="79" t="s">
        <v>63</v>
      </c>
      <c r="C68" s="79"/>
      <c r="D68" s="80"/>
      <c r="E68" s="80"/>
      <c r="F68" s="80"/>
      <c r="G68" s="208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75"/>
      <c r="AA68" s="96">
        <f t="shared" si="6"/>
        <v>0</v>
      </c>
      <c r="AB68" s="422"/>
    </row>
    <row r="69" spans="2:28" s="83" customFormat="1" ht="15.5" hidden="1" thickBot="1">
      <c r="B69" s="79" t="s">
        <v>63</v>
      </c>
      <c r="C69" s="79"/>
      <c r="D69" s="80"/>
      <c r="E69" s="80"/>
      <c r="F69" s="80"/>
      <c r="G69" s="21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75"/>
      <c r="AA69" s="96">
        <f t="shared" si="6"/>
        <v>0</v>
      </c>
      <c r="AB69" s="423"/>
    </row>
    <row r="70" spans="2:28" s="83" customFormat="1" ht="15" hidden="1">
      <c r="B70" s="79" t="s">
        <v>63</v>
      </c>
      <c r="C70" s="79"/>
      <c r="D70" s="80"/>
      <c r="E70" s="80"/>
      <c r="F70" s="80"/>
      <c r="G70" s="208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75"/>
      <c r="AA70" s="96">
        <f t="shared" si="6"/>
        <v>0</v>
      </c>
      <c r="AB70" s="561">
        <f>SUM(AA70:AA78)</f>
        <v>0</v>
      </c>
    </row>
    <row r="71" spans="2:28" s="83" customFormat="1" ht="15" hidden="1">
      <c r="B71" s="79" t="s">
        <v>63</v>
      </c>
      <c r="C71" s="79"/>
      <c r="D71" s="80"/>
      <c r="E71" s="80"/>
      <c r="F71" s="80"/>
      <c r="G71" s="21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75"/>
      <c r="AA71" s="96">
        <f t="shared" si="6"/>
        <v>0</v>
      </c>
      <c r="AB71" s="562"/>
    </row>
    <row r="72" spans="2:28" s="83" customFormat="1" ht="15" hidden="1">
      <c r="B72" s="79" t="s">
        <v>63</v>
      </c>
      <c r="C72" s="79"/>
      <c r="D72" s="80"/>
      <c r="E72" s="80"/>
      <c r="F72" s="80"/>
      <c r="G72" s="21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75"/>
      <c r="AA72" s="96">
        <f t="shared" si="6"/>
        <v>0</v>
      </c>
      <c r="AB72" s="562"/>
    </row>
    <row r="73" spans="2:28" s="83" customFormat="1" ht="15" hidden="1">
      <c r="B73" s="79" t="s">
        <v>63</v>
      </c>
      <c r="C73" s="79"/>
      <c r="D73" s="80"/>
      <c r="E73" s="80"/>
      <c r="F73" s="80"/>
      <c r="G73" s="21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75"/>
      <c r="AA73" s="96">
        <f t="shared" si="6"/>
        <v>0</v>
      </c>
      <c r="AB73" s="562"/>
    </row>
    <row r="74" spans="2:28" s="83" customFormat="1" ht="15" hidden="1">
      <c r="B74" s="79" t="s">
        <v>63</v>
      </c>
      <c r="C74" s="79"/>
      <c r="D74" s="80"/>
      <c r="E74" s="80"/>
      <c r="F74" s="80"/>
      <c r="G74" s="21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75"/>
      <c r="AA74" s="96">
        <f t="shared" si="6"/>
        <v>0</v>
      </c>
      <c r="AB74" s="562"/>
    </row>
    <row r="75" spans="2:28" s="83" customFormat="1" ht="15" hidden="1">
      <c r="B75" s="79" t="s">
        <v>63</v>
      </c>
      <c r="C75" s="79"/>
      <c r="D75" s="80"/>
      <c r="E75" s="80"/>
      <c r="F75" s="80"/>
      <c r="G75" s="21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75"/>
      <c r="AA75" s="96">
        <f t="shared" si="6"/>
        <v>0</v>
      </c>
      <c r="AB75" s="562"/>
    </row>
    <row r="76" spans="2:28" s="83" customFormat="1" ht="15" hidden="1">
      <c r="B76" s="79" t="s">
        <v>63</v>
      </c>
      <c r="C76" s="79"/>
      <c r="D76" s="80"/>
      <c r="E76" s="80"/>
      <c r="F76" s="81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75"/>
      <c r="AA76" s="96">
        <f t="shared" si="6"/>
        <v>0</v>
      </c>
      <c r="AB76" s="562"/>
    </row>
    <row r="77" spans="2:28" s="83" customFormat="1" ht="15" hidden="1">
      <c r="B77" s="79" t="s">
        <v>63</v>
      </c>
      <c r="C77" s="79"/>
      <c r="D77" s="80"/>
      <c r="E77" s="81"/>
      <c r="F77" s="81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75"/>
      <c r="AA77" s="96">
        <f t="shared" si="6"/>
        <v>0</v>
      </c>
      <c r="AB77" s="562"/>
    </row>
    <row r="78" spans="2:28" s="83" customFormat="1" ht="15.5" hidden="1" thickBot="1">
      <c r="B78" s="79" t="s">
        <v>63</v>
      </c>
      <c r="C78" s="79"/>
      <c r="D78" s="80"/>
      <c r="E78" s="81"/>
      <c r="F78" s="81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75"/>
      <c r="AA78" s="96">
        <f t="shared" si="6"/>
        <v>0</v>
      </c>
      <c r="AB78" s="563"/>
    </row>
    <row r="79" spans="2:28" s="83" customFormat="1" ht="15" hidden="1">
      <c r="B79" s="79" t="s">
        <v>63</v>
      </c>
      <c r="C79" s="79"/>
      <c r="D79" s="80"/>
      <c r="E79" s="80"/>
      <c r="F79" s="80"/>
      <c r="G79" s="21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75"/>
      <c r="AA79" s="96">
        <f t="shared" si="6"/>
        <v>0</v>
      </c>
      <c r="AB79" s="561">
        <f>SUM(AA79:AA83)</f>
        <v>0</v>
      </c>
    </row>
    <row r="80" spans="2:28" s="83" customFormat="1" ht="15" hidden="1">
      <c r="B80" s="79" t="s">
        <v>63</v>
      </c>
      <c r="C80" s="79"/>
      <c r="D80" s="80"/>
      <c r="E80" s="80"/>
      <c r="F80" s="80"/>
      <c r="G80" s="21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75"/>
      <c r="AA80" s="96">
        <f t="shared" si="6"/>
        <v>0</v>
      </c>
      <c r="AB80" s="562"/>
    </row>
    <row r="81" spans="2:28" s="83" customFormat="1" ht="15" hidden="1">
      <c r="B81" s="79" t="s">
        <v>63</v>
      </c>
      <c r="C81" s="79"/>
      <c r="D81" s="80"/>
      <c r="E81" s="80"/>
      <c r="F81" s="80"/>
      <c r="G81" s="21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75"/>
      <c r="AA81" s="96">
        <f>SUM(H81:Z81)</f>
        <v>0</v>
      </c>
      <c r="AB81" s="562"/>
    </row>
    <row r="82" spans="2:28" s="83" customFormat="1" ht="15" hidden="1">
      <c r="B82" s="79" t="s">
        <v>63</v>
      </c>
      <c r="C82" s="79"/>
      <c r="D82" s="81"/>
      <c r="E82" s="81"/>
      <c r="F82" s="81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75"/>
      <c r="AA82" s="96">
        <f>SUM(H82:Z82)</f>
        <v>0</v>
      </c>
      <c r="AB82" s="562"/>
    </row>
    <row r="83" spans="2:28" s="83" customFormat="1" ht="15.5" hidden="1" thickBot="1">
      <c r="B83" s="79" t="s">
        <v>63</v>
      </c>
      <c r="C83" s="79"/>
      <c r="D83" s="81"/>
      <c r="E83" s="81"/>
      <c r="F83" s="81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75"/>
      <c r="AA83" s="96">
        <f>SUM(H83:Z83)</f>
        <v>0</v>
      </c>
      <c r="AB83" s="563"/>
    </row>
    <row r="84" spans="2:28" s="83" customFormat="1" ht="15" hidden="1">
      <c r="B84" s="79" t="s">
        <v>63</v>
      </c>
      <c r="C84" s="79"/>
      <c r="D84" s="80"/>
      <c r="E84" s="80"/>
      <c r="F84" s="81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75"/>
      <c r="AA84" s="96">
        <f t="shared" si="6"/>
        <v>0</v>
      </c>
      <c r="AB84" s="191"/>
    </row>
    <row r="85" spans="2:28" s="83" customFormat="1" ht="15" hidden="1">
      <c r="B85" s="79" t="s">
        <v>63</v>
      </c>
      <c r="C85" s="79"/>
      <c r="D85" s="80"/>
      <c r="E85" s="81"/>
      <c r="F85" s="81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75"/>
      <c r="AA85" s="96">
        <f t="shared" si="6"/>
        <v>0</v>
      </c>
      <c r="AB85" s="191"/>
    </row>
    <row r="86" spans="2:28" s="83" customFormat="1" ht="15" hidden="1">
      <c r="B86" s="79" t="s">
        <v>63</v>
      </c>
      <c r="C86" s="79"/>
      <c r="D86" s="80"/>
      <c r="E86" s="81"/>
      <c r="F86" s="81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75"/>
      <c r="AA86" s="96">
        <f t="shared" si="6"/>
        <v>0</v>
      </c>
      <c r="AB86" s="562"/>
    </row>
    <row r="87" spans="2:28" s="83" customFormat="1" ht="15" hidden="1">
      <c r="B87" s="79" t="s">
        <v>63</v>
      </c>
      <c r="C87" s="79"/>
      <c r="D87" s="81"/>
      <c r="E87" s="81"/>
      <c r="F87" s="81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75"/>
      <c r="AA87" s="96">
        <f t="shared" si="6"/>
        <v>0</v>
      </c>
      <c r="AB87" s="562"/>
    </row>
    <row r="88" spans="2:28" s="83" customFormat="1" ht="15" hidden="1">
      <c r="B88" s="79"/>
      <c r="C88" s="79"/>
      <c r="D88" s="80"/>
      <c r="E88" s="80"/>
      <c r="F88" s="80"/>
      <c r="G88" s="21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75"/>
      <c r="AA88" s="96">
        <f t="shared" si="6"/>
        <v>0</v>
      </c>
      <c r="AB88" s="191"/>
    </row>
    <row r="89" spans="2:28" s="83" customFormat="1" ht="15" hidden="1">
      <c r="B89" s="79"/>
      <c r="C89" s="79"/>
      <c r="D89" s="80"/>
      <c r="E89" s="80"/>
      <c r="F89" s="80"/>
      <c r="G89" s="21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75"/>
      <c r="AA89" s="96">
        <f t="shared" si="6"/>
        <v>0</v>
      </c>
      <c r="AB89" s="191"/>
    </row>
    <row r="90" spans="2:28" s="83" customFormat="1" ht="15" hidden="1">
      <c r="B90" s="79"/>
      <c r="C90" s="79"/>
      <c r="D90" s="80"/>
      <c r="E90" s="80"/>
      <c r="F90" s="80"/>
      <c r="G90" s="21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75"/>
      <c r="AA90" s="96">
        <f t="shared" si="6"/>
        <v>0</v>
      </c>
      <c r="AB90" s="191"/>
    </row>
    <row r="91" spans="2:28" s="83" customFormat="1" ht="15.5" thickTop="1">
      <c r="B91" s="79" t="s">
        <v>63</v>
      </c>
      <c r="C91" s="79"/>
      <c r="D91" s="81"/>
      <c r="E91" s="81"/>
      <c r="F91" s="81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75"/>
      <c r="AA91" s="96">
        <f t="shared" si="6"/>
        <v>0</v>
      </c>
      <c r="AB91" s="562">
        <f>SUM(AA91:AA92)</f>
        <v>0</v>
      </c>
    </row>
    <row r="92" spans="2:28" s="83" customFormat="1" ht="15.5" thickBot="1">
      <c r="B92" s="79" t="s">
        <v>63</v>
      </c>
      <c r="C92" s="79"/>
      <c r="D92" s="81"/>
      <c r="E92" s="81"/>
      <c r="F92" s="81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75"/>
      <c r="AA92" s="96">
        <f t="shared" si="6"/>
        <v>0</v>
      </c>
      <c r="AB92" s="563"/>
    </row>
    <row r="93" spans="2:28" s="83" customFormat="1" ht="15">
      <c r="B93" s="79" t="s">
        <v>63</v>
      </c>
      <c r="C93" s="79"/>
      <c r="D93" s="81"/>
      <c r="E93" s="81"/>
      <c r="F93" s="81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75"/>
      <c r="AA93" s="96">
        <f t="shared" si="6"/>
        <v>0</v>
      </c>
      <c r="AB93" s="561">
        <f>SUM(AA93:AA96)</f>
        <v>0</v>
      </c>
    </row>
    <row r="94" spans="2:28" s="83" customFormat="1" ht="15">
      <c r="B94" s="79" t="s">
        <v>63</v>
      </c>
      <c r="C94" s="79"/>
      <c r="D94" s="81"/>
      <c r="E94" s="81"/>
      <c r="F94" s="81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75"/>
      <c r="AA94" s="96">
        <f t="shared" si="6"/>
        <v>0</v>
      </c>
      <c r="AB94" s="562"/>
    </row>
    <row r="95" spans="2:28" s="83" customFormat="1" ht="15">
      <c r="B95" s="79" t="s">
        <v>63</v>
      </c>
      <c r="C95" s="79"/>
      <c r="D95" s="81"/>
      <c r="E95" s="81"/>
      <c r="F95" s="81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75"/>
      <c r="AA95" s="96">
        <f t="shared" si="6"/>
        <v>0</v>
      </c>
      <c r="AB95" s="562"/>
    </row>
    <row r="96" spans="2:28" s="83" customFormat="1" ht="15.5" thickBot="1">
      <c r="B96" s="79" t="s">
        <v>63</v>
      </c>
      <c r="C96" s="79"/>
      <c r="D96" s="81"/>
      <c r="E96" s="81"/>
      <c r="F96" s="81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75"/>
      <c r="AA96" s="96">
        <f>SUM(H96:Z96)</f>
        <v>0</v>
      </c>
      <c r="AB96" s="562"/>
    </row>
    <row r="97" spans="2:28" s="83" customFormat="1" ht="15">
      <c r="B97" s="79" t="s">
        <v>63</v>
      </c>
      <c r="C97" s="79"/>
      <c r="D97" s="81"/>
      <c r="E97" s="81"/>
      <c r="F97" s="81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75"/>
      <c r="AA97" s="96">
        <f>SUM(H97:Z97)</f>
        <v>0</v>
      </c>
      <c r="AB97" s="297">
        <v>0</v>
      </c>
    </row>
    <row r="98" spans="2:28" s="83" customFormat="1" ht="15" hidden="1">
      <c r="B98" s="79"/>
      <c r="C98" s="79"/>
      <c r="D98" s="81"/>
      <c r="E98" s="81"/>
      <c r="F98" s="81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75"/>
      <c r="AA98" s="96">
        <f>SUM(H98:Z98)</f>
        <v>0</v>
      </c>
      <c r="AB98" s="191"/>
    </row>
    <row r="99" spans="2:28" s="83" customFormat="1" ht="15" hidden="1">
      <c r="B99" s="79"/>
      <c r="C99" s="79"/>
      <c r="D99" s="81"/>
      <c r="E99" s="81"/>
      <c r="F99" s="81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75"/>
      <c r="AA99" s="96">
        <f t="shared" ref="AA99:AA107" si="7">SUM(H99:Z99)</f>
        <v>0</v>
      </c>
      <c r="AB99" s="191"/>
    </row>
    <row r="100" spans="2:28" s="83" customFormat="1" ht="15" hidden="1">
      <c r="B100" s="79"/>
      <c r="C100" s="79"/>
      <c r="D100" s="81"/>
      <c r="E100" s="209"/>
      <c r="F100" s="209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75"/>
      <c r="AA100" s="96">
        <f t="shared" si="7"/>
        <v>0</v>
      </c>
      <c r="AB100" s="191"/>
    </row>
    <row r="101" spans="2:28" s="83" customFormat="1" ht="15" hidden="1">
      <c r="B101" s="79"/>
      <c r="C101" s="79"/>
      <c r="D101" s="81"/>
      <c r="E101" s="81"/>
      <c r="F101" s="81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75"/>
      <c r="AA101" s="96">
        <f t="shared" si="7"/>
        <v>0</v>
      </c>
      <c r="AB101" s="191"/>
    </row>
    <row r="102" spans="2:28" s="83" customFormat="1" ht="15" hidden="1">
      <c r="B102" s="79"/>
      <c r="C102" s="79"/>
      <c r="D102" s="81"/>
      <c r="E102" s="81"/>
      <c r="F102" s="81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75"/>
      <c r="AA102" s="96">
        <f t="shared" si="7"/>
        <v>0</v>
      </c>
      <c r="AB102" s="213"/>
    </row>
    <row r="103" spans="2:28" s="83" customFormat="1" ht="15" hidden="1">
      <c r="B103" s="79"/>
      <c r="C103" s="82"/>
      <c r="D103" s="81"/>
      <c r="E103" s="81"/>
      <c r="F103" s="81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75"/>
      <c r="AA103" s="96">
        <f t="shared" si="7"/>
        <v>0</v>
      </c>
      <c r="AB103" s="77"/>
    </row>
    <row r="104" spans="2:28" s="83" customFormat="1" ht="15" hidden="1">
      <c r="B104" s="79"/>
      <c r="C104" s="82"/>
      <c r="D104" s="81"/>
      <c r="E104" s="81"/>
      <c r="F104" s="81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75"/>
      <c r="AA104" s="96">
        <f t="shared" si="7"/>
        <v>0</v>
      </c>
      <c r="AB104" s="77"/>
    </row>
    <row r="105" spans="2:28" s="83" customFormat="1" ht="15" hidden="1">
      <c r="B105" s="79"/>
      <c r="C105" s="82"/>
      <c r="D105" s="81"/>
      <c r="E105" s="81"/>
      <c r="F105" s="81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75"/>
      <c r="AA105" s="96">
        <f t="shared" si="7"/>
        <v>0</v>
      </c>
      <c r="AB105" s="77"/>
    </row>
    <row r="106" spans="2:28" s="83" customFormat="1" ht="15" hidden="1">
      <c r="B106" s="79"/>
      <c r="C106" s="82"/>
      <c r="D106" s="81"/>
      <c r="E106" s="81"/>
      <c r="F106" s="81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75"/>
      <c r="AA106" s="96">
        <f t="shared" si="7"/>
        <v>0</v>
      </c>
      <c r="AB106" s="77"/>
    </row>
    <row r="107" spans="2:28" s="83" customFormat="1" ht="15" hidden="1">
      <c r="B107" s="79"/>
      <c r="C107" s="82"/>
      <c r="D107" s="81"/>
      <c r="E107" s="81"/>
      <c r="F107" s="81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75"/>
      <c r="AA107" s="96">
        <f t="shared" si="7"/>
        <v>0</v>
      </c>
      <c r="AB107" s="77"/>
    </row>
    <row r="108" spans="2:28" s="83" customFormat="1" ht="15" hidden="1">
      <c r="B108" s="79"/>
      <c r="C108" s="82"/>
      <c r="D108" s="81"/>
      <c r="E108" s="81"/>
      <c r="F108" s="81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75"/>
      <c r="AA108" s="96">
        <f t="shared" si="6"/>
        <v>0</v>
      </c>
      <c r="AB108" s="77"/>
    </row>
    <row r="109" spans="2:28" s="83" customFormat="1" ht="15" hidden="1">
      <c r="B109" s="79"/>
      <c r="C109" s="82"/>
      <c r="D109" s="81"/>
      <c r="E109" s="81"/>
      <c r="F109" s="81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75"/>
      <c r="AA109" s="96">
        <f t="shared" si="6"/>
        <v>0</v>
      </c>
      <c r="AB109" s="77"/>
    </row>
    <row r="110" spans="2:28" s="83" customFormat="1" ht="15" hidden="1">
      <c r="B110" s="79"/>
      <c r="C110" s="82"/>
      <c r="D110" s="81"/>
      <c r="E110" s="81"/>
      <c r="F110" s="81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75"/>
      <c r="AA110" s="96">
        <f t="shared" si="6"/>
        <v>0</v>
      </c>
      <c r="AB110" s="77"/>
    </row>
    <row r="111" spans="2:28" s="83" customFormat="1" ht="15" hidden="1">
      <c r="B111" s="79"/>
      <c r="C111" s="82"/>
      <c r="D111" s="81"/>
      <c r="E111" s="81"/>
      <c r="F111" s="81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75"/>
      <c r="AA111" s="96">
        <f t="shared" si="6"/>
        <v>0</v>
      </c>
      <c r="AB111" s="77"/>
    </row>
    <row r="112" spans="2:28" s="83" customFormat="1" ht="15" hidden="1">
      <c r="B112" s="79"/>
      <c r="C112" s="82"/>
      <c r="D112" s="81"/>
      <c r="E112" s="81"/>
      <c r="F112" s="81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75"/>
      <c r="AA112" s="96">
        <f t="shared" ref="AA112:AA118" si="8">SUM(H112:Z112)</f>
        <v>0</v>
      </c>
      <c r="AB112" s="77"/>
    </row>
    <row r="113" spans="2:28" s="83" customFormat="1" ht="15" hidden="1">
      <c r="B113" s="79"/>
      <c r="C113" s="82"/>
      <c r="D113" s="81"/>
      <c r="E113" s="81"/>
      <c r="F113" s="81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75"/>
      <c r="AA113" s="96">
        <f t="shared" si="8"/>
        <v>0</v>
      </c>
      <c r="AB113" s="77"/>
    </row>
    <row r="114" spans="2:28" s="83" customFormat="1" ht="15" hidden="1">
      <c r="B114" s="79"/>
      <c r="C114" s="82"/>
      <c r="D114" s="81"/>
      <c r="E114" s="81"/>
      <c r="F114" s="81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75"/>
      <c r="AA114" s="96">
        <f t="shared" si="8"/>
        <v>0</v>
      </c>
      <c r="AB114" s="77"/>
    </row>
    <row r="115" spans="2:28" s="83" customFormat="1" ht="15" hidden="1">
      <c r="B115" s="79"/>
      <c r="C115" s="82"/>
      <c r="D115" s="81"/>
      <c r="E115" s="81"/>
      <c r="F115" s="81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75"/>
      <c r="AA115" s="96">
        <f t="shared" si="8"/>
        <v>0</v>
      </c>
      <c r="AB115" s="77"/>
    </row>
    <row r="116" spans="2:28" s="83" customFormat="1" ht="15" hidden="1">
      <c r="B116" s="79"/>
      <c r="C116" s="82"/>
      <c r="D116" s="81"/>
      <c r="E116" s="81"/>
      <c r="F116" s="81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75"/>
      <c r="AA116" s="96">
        <f t="shared" si="8"/>
        <v>0</v>
      </c>
      <c r="AB116" s="77"/>
    </row>
    <row r="117" spans="2:28" s="83" customFormat="1" ht="15" hidden="1">
      <c r="B117" s="79"/>
      <c r="C117" s="82"/>
      <c r="D117" s="81"/>
      <c r="E117" s="81"/>
      <c r="F117" s="81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75"/>
      <c r="AA117" s="96">
        <f t="shared" si="8"/>
        <v>0</v>
      </c>
      <c r="AB117" s="77"/>
    </row>
    <row r="118" spans="2:28" s="83" customFormat="1" ht="15" hidden="1">
      <c r="B118" s="79"/>
      <c r="C118" s="82"/>
      <c r="D118" s="81"/>
      <c r="E118" s="81"/>
      <c r="F118" s="81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75"/>
      <c r="AA118" s="96">
        <f t="shared" si="8"/>
        <v>0</v>
      </c>
      <c r="AB118" s="77"/>
    </row>
    <row r="119" spans="2:28" s="83" customFormat="1" ht="15" hidden="1">
      <c r="B119" s="79"/>
      <c r="C119" s="82"/>
      <c r="D119" s="81"/>
      <c r="E119" s="81"/>
      <c r="F119" s="81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75"/>
      <c r="AA119" s="96">
        <f t="shared" si="6"/>
        <v>0</v>
      </c>
      <c r="AB119" s="77"/>
    </row>
    <row r="120" spans="2:28" s="83" customFormat="1" ht="15" hidden="1">
      <c r="B120" s="79"/>
      <c r="C120" s="82"/>
      <c r="D120" s="81"/>
      <c r="E120" s="81"/>
      <c r="F120" s="81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75"/>
      <c r="AA120" s="96">
        <f>SUM(H120:Z120)</f>
        <v>0</v>
      </c>
      <c r="AB120" s="77"/>
    </row>
    <row r="121" spans="2:28" s="83" customFormat="1" ht="15" hidden="1">
      <c r="B121" s="79"/>
      <c r="C121" s="82"/>
      <c r="D121" s="81"/>
      <c r="E121" s="81"/>
      <c r="F121" s="81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75"/>
      <c r="AA121" s="96">
        <f>SUM(H121:Z121)</f>
        <v>0</v>
      </c>
      <c r="AB121" s="77"/>
    </row>
    <row r="122" spans="2:28" s="83" customFormat="1" ht="15" hidden="1">
      <c r="B122" s="79"/>
      <c r="C122" s="82"/>
      <c r="D122" s="81"/>
      <c r="E122" s="81"/>
      <c r="F122" s="81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75"/>
      <c r="AA122" s="96">
        <f t="shared" si="6"/>
        <v>0</v>
      </c>
      <c r="AB122" s="77"/>
    </row>
    <row r="123" spans="2:28" s="83" customFormat="1" ht="15.5" thickBot="1">
      <c r="B123" s="79"/>
      <c r="C123" s="82"/>
      <c r="D123" s="81"/>
      <c r="E123" s="81"/>
      <c r="F123" s="81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75"/>
      <c r="AA123" s="96">
        <f t="shared" si="6"/>
        <v>0</v>
      </c>
      <c r="AB123" s="105"/>
    </row>
    <row r="124" spans="2:28" s="83" customFormat="1" thickTop="1" thickBot="1">
      <c r="B124" s="94" t="s">
        <v>73</v>
      </c>
      <c r="C124" s="571" t="s">
        <v>74</v>
      </c>
      <c r="D124" s="571"/>
      <c r="E124" s="571"/>
      <c r="F124" s="571"/>
      <c r="G124" s="571"/>
      <c r="H124" s="95">
        <f>SUM(H54:H123)</f>
        <v>0</v>
      </c>
      <c r="I124" s="95">
        <f>SUM(I54:I123)</f>
        <v>0</v>
      </c>
      <c r="J124" s="95">
        <f>SUM(J54:J123)</f>
        <v>0</v>
      </c>
      <c r="K124" s="95">
        <f t="shared" ref="K124:AB124" si="9">SUM(K54:K123)</f>
        <v>0</v>
      </c>
      <c r="L124" s="95">
        <f t="shared" si="9"/>
        <v>0</v>
      </c>
      <c r="M124" s="95">
        <f>SUM(M54:M123)</f>
        <v>0</v>
      </c>
      <c r="N124" s="95">
        <f t="shared" si="9"/>
        <v>0</v>
      </c>
      <c r="O124" s="95">
        <f t="shared" si="9"/>
        <v>0</v>
      </c>
      <c r="P124" s="95">
        <f t="shared" si="9"/>
        <v>0</v>
      </c>
      <c r="Q124" s="100">
        <f t="shared" si="9"/>
        <v>0</v>
      </c>
      <c r="R124" s="101">
        <f t="shared" si="9"/>
        <v>0</v>
      </c>
      <c r="S124" s="101">
        <f t="shared" si="9"/>
        <v>0</v>
      </c>
      <c r="T124" s="101">
        <f t="shared" si="9"/>
        <v>0</v>
      </c>
      <c r="U124" s="101">
        <f>SUM(U54:U123)</f>
        <v>0</v>
      </c>
      <c r="V124" s="101">
        <f t="shared" si="9"/>
        <v>0</v>
      </c>
      <c r="W124" s="100">
        <f t="shared" si="9"/>
        <v>0</v>
      </c>
      <c r="X124" s="101">
        <f t="shared" si="9"/>
        <v>0</v>
      </c>
      <c r="Y124" s="102">
        <f t="shared" si="9"/>
        <v>0</v>
      </c>
      <c r="Z124" s="106">
        <f t="shared" si="9"/>
        <v>0</v>
      </c>
      <c r="AA124" s="106">
        <f>SUM(AA54:AA123)</f>
        <v>0</v>
      </c>
      <c r="AB124" s="172">
        <f t="shared" si="9"/>
        <v>0</v>
      </c>
    </row>
    <row r="125" spans="2:28" s="83" customFormat="1" thickTop="1" thickBot="1">
      <c r="B125" s="98" t="s">
        <v>73</v>
      </c>
      <c r="C125" s="573" t="s">
        <v>74</v>
      </c>
      <c r="D125" s="573"/>
      <c r="E125" s="573"/>
      <c r="F125" s="573"/>
      <c r="G125" s="573"/>
      <c r="H125" s="99">
        <f>H124</f>
        <v>0</v>
      </c>
      <c r="I125" s="569">
        <f>+I124+J124</f>
        <v>0</v>
      </c>
      <c r="J125" s="570"/>
      <c r="K125" s="99">
        <f t="shared" ref="K125:P125" si="10">K124</f>
        <v>0</v>
      </c>
      <c r="L125" s="99">
        <f t="shared" si="10"/>
        <v>0</v>
      </c>
      <c r="M125" s="99">
        <f t="shared" si="10"/>
        <v>0</v>
      </c>
      <c r="N125" s="99">
        <f t="shared" si="10"/>
        <v>0</v>
      </c>
      <c r="O125" s="99">
        <f t="shared" si="10"/>
        <v>0</v>
      </c>
      <c r="P125" s="99">
        <f t="shared" si="10"/>
        <v>0</v>
      </c>
      <c r="Q125" s="572">
        <f>+Q124+R124+S124+T124+V124</f>
        <v>0</v>
      </c>
      <c r="R125" s="572"/>
      <c r="S125" s="572"/>
      <c r="T125" s="572"/>
      <c r="U125" s="572"/>
      <c r="V125" s="572"/>
      <c r="W125" s="572">
        <f>+W124+X124+Y124</f>
        <v>0</v>
      </c>
      <c r="X125" s="572"/>
      <c r="Y125" s="572"/>
      <c r="Z125" s="99">
        <f>Z124</f>
        <v>0</v>
      </c>
      <c r="AA125" s="99">
        <f>AA124</f>
        <v>0</v>
      </c>
      <c r="AB125" s="99">
        <f>AB124</f>
        <v>0</v>
      </c>
    </row>
    <row r="126" spans="2:28" s="83" customFormat="1" ht="15.5" thickTop="1">
      <c r="B126" s="79" t="s">
        <v>65</v>
      </c>
      <c r="C126" s="79"/>
      <c r="D126" s="81"/>
      <c r="E126" s="81"/>
      <c r="F126" s="81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405"/>
      <c r="W126" s="80"/>
      <c r="X126" s="80"/>
      <c r="Y126" s="80"/>
      <c r="Z126" s="75"/>
      <c r="AA126" s="76">
        <f>SUM(H126:Z126)</f>
        <v>0</v>
      </c>
      <c r="AB126" s="574">
        <f>SUM(AA126:AA129)</f>
        <v>0</v>
      </c>
    </row>
    <row r="127" spans="2:28" s="83" customFormat="1" ht="15">
      <c r="B127" s="79" t="s">
        <v>65</v>
      </c>
      <c r="C127" s="79"/>
      <c r="D127" s="81"/>
      <c r="E127" s="81"/>
      <c r="F127" s="81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75"/>
      <c r="AA127" s="76">
        <f>SUM(H127:Z127)</f>
        <v>0</v>
      </c>
      <c r="AB127" s="562"/>
    </row>
    <row r="128" spans="2:28" s="83" customFormat="1" ht="15">
      <c r="B128" s="79" t="s">
        <v>65</v>
      </c>
      <c r="C128" s="79"/>
      <c r="D128" s="81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75"/>
      <c r="AA128" s="76">
        <f>SUM(H128:Z128)</f>
        <v>0</v>
      </c>
      <c r="AB128" s="562"/>
    </row>
    <row r="129" spans="2:28" s="83" customFormat="1" ht="15.5" thickBot="1">
      <c r="B129" s="79" t="s">
        <v>65</v>
      </c>
      <c r="C129" s="79"/>
      <c r="D129" s="81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75"/>
      <c r="AA129" s="76">
        <f t="shared" ref="AA129:AA163" si="11">SUM(H129:Z129)</f>
        <v>0</v>
      </c>
      <c r="AB129" s="562"/>
    </row>
    <row r="130" spans="2:28" s="83" customFormat="1" ht="15" hidden="1">
      <c r="B130" s="79" t="s">
        <v>65</v>
      </c>
      <c r="C130" s="79"/>
      <c r="D130" s="81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75"/>
      <c r="AA130" s="76">
        <f t="shared" si="11"/>
        <v>0</v>
      </c>
      <c r="AB130" s="199"/>
    </row>
    <row r="131" spans="2:28" s="83" customFormat="1" ht="15" hidden="1">
      <c r="B131" s="79" t="s">
        <v>65</v>
      </c>
      <c r="C131" s="79"/>
      <c r="D131" s="81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75"/>
      <c r="AA131" s="76">
        <f t="shared" si="11"/>
        <v>0</v>
      </c>
      <c r="AB131" s="191"/>
    </row>
    <row r="132" spans="2:28" s="83" customFormat="1" ht="15.5" hidden="1" thickBot="1">
      <c r="B132" s="79" t="s">
        <v>65</v>
      </c>
      <c r="C132" s="79"/>
      <c r="D132" s="81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75"/>
      <c r="AA132" s="76">
        <f t="shared" si="11"/>
        <v>0</v>
      </c>
      <c r="AB132" s="231"/>
    </row>
    <row r="133" spans="2:28" s="83" customFormat="1" ht="15" hidden="1">
      <c r="B133" s="79" t="s">
        <v>65</v>
      </c>
      <c r="C133" s="79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75"/>
      <c r="AA133" s="76">
        <f t="shared" si="11"/>
        <v>0</v>
      </c>
      <c r="AB133" s="191"/>
    </row>
    <row r="134" spans="2:28" s="83" customFormat="1" ht="15" hidden="1">
      <c r="B134" s="79" t="s">
        <v>65</v>
      </c>
      <c r="C134" s="79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75"/>
      <c r="AA134" s="76">
        <f t="shared" si="11"/>
        <v>0</v>
      </c>
      <c r="AB134" s="191"/>
    </row>
    <row r="135" spans="2:28" s="83" customFormat="1" ht="15" hidden="1">
      <c r="B135" s="79" t="s">
        <v>65</v>
      </c>
      <c r="C135" s="79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75"/>
      <c r="AA135" s="76">
        <f t="shared" si="11"/>
        <v>0</v>
      </c>
      <c r="AB135" s="191"/>
    </row>
    <row r="136" spans="2:28" s="83" customFormat="1" ht="15" hidden="1">
      <c r="B136" s="79" t="s">
        <v>65</v>
      </c>
      <c r="C136" s="79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75"/>
      <c r="AA136" s="76">
        <f t="shared" si="11"/>
        <v>0</v>
      </c>
      <c r="AB136" s="191"/>
    </row>
    <row r="137" spans="2:28" s="83" customFormat="1" ht="15" hidden="1">
      <c r="B137" s="79" t="s">
        <v>65</v>
      </c>
      <c r="C137" s="79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75"/>
      <c r="AA137" s="76">
        <f t="shared" si="11"/>
        <v>0</v>
      </c>
      <c r="AB137" s="191"/>
    </row>
    <row r="138" spans="2:28" s="83" customFormat="1" ht="15.5" hidden="1" thickBot="1">
      <c r="B138" s="79" t="s">
        <v>65</v>
      </c>
      <c r="C138" s="79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75"/>
      <c r="AA138" s="76">
        <f t="shared" si="11"/>
        <v>0</v>
      </c>
      <c r="AB138" s="231"/>
    </row>
    <row r="139" spans="2:28" s="83" customFormat="1" ht="15.5" hidden="1" thickBot="1">
      <c r="B139" s="79" t="s">
        <v>65</v>
      </c>
      <c r="C139" s="79"/>
      <c r="D139" s="81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75"/>
      <c r="AA139" s="76">
        <f>SUM(H139:Z139)</f>
        <v>0</v>
      </c>
      <c r="AB139" s="401"/>
    </row>
    <row r="140" spans="2:28" s="83" customFormat="1" ht="15" hidden="1">
      <c r="B140" s="79" t="s">
        <v>65</v>
      </c>
      <c r="C140" s="79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75"/>
      <c r="AA140" s="76">
        <f t="shared" si="11"/>
        <v>0</v>
      </c>
      <c r="AB140" s="281"/>
    </row>
    <row r="141" spans="2:28" s="83" customFormat="1" ht="15" hidden="1">
      <c r="B141" s="79" t="s">
        <v>65</v>
      </c>
      <c r="C141" s="79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75"/>
      <c r="AA141" s="76">
        <f t="shared" si="11"/>
        <v>0</v>
      </c>
      <c r="AB141" s="297"/>
    </row>
    <row r="142" spans="2:28" s="83" customFormat="1" ht="15" hidden="1">
      <c r="B142" s="79" t="s">
        <v>65</v>
      </c>
      <c r="C142" s="79"/>
      <c r="D142" s="80"/>
      <c r="E142" s="81"/>
      <c r="F142" s="81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75"/>
      <c r="AA142" s="76">
        <f t="shared" si="11"/>
        <v>0</v>
      </c>
      <c r="AB142" s="191"/>
    </row>
    <row r="143" spans="2:28" s="83" customFormat="1" ht="15" hidden="1">
      <c r="B143" s="79" t="s">
        <v>65</v>
      </c>
      <c r="C143" s="79"/>
      <c r="D143" s="80"/>
      <c r="E143" s="81"/>
      <c r="F143" s="81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75"/>
      <c r="AA143" s="76">
        <f t="shared" si="11"/>
        <v>0</v>
      </c>
      <c r="AB143" s="191"/>
    </row>
    <row r="144" spans="2:28" s="83" customFormat="1" ht="15" hidden="1">
      <c r="B144" s="79" t="s">
        <v>65</v>
      </c>
      <c r="C144" s="79"/>
      <c r="D144" s="80"/>
      <c r="E144" s="81"/>
      <c r="F144" s="81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75"/>
      <c r="AA144" s="76">
        <f t="shared" si="11"/>
        <v>0</v>
      </c>
      <c r="AB144" s="191"/>
    </row>
    <row r="145" spans="2:28" s="83" customFormat="1" ht="15" hidden="1">
      <c r="B145" s="79" t="s">
        <v>65</v>
      </c>
      <c r="C145" s="79"/>
      <c r="D145" s="80"/>
      <c r="E145" s="81"/>
      <c r="F145" s="81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75"/>
      <c r="AA145" s="76">
        <f t="shared" si="11"/>
        <v>0</v>
      </c>
      <c r="AB145" s="191"/>
    </row>
    <row r="146" spans="2:28" s="83" customFormat="1" ht="15" hidden="1">
      <c r="B146" s="79" t="s">
        <v>65</v>
      </c>
      <c r="C146" s="79"/>
      <c r="D146" s="80"/>
      <c r="E146" s="81"/>
      <c r="F146" s="81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75"/>
      <c r="AA146" s="76">
        <f t="shared" si="11"/>
        <v>0</v>
      </c>
      <c r="AB146" s="191"/>
    </row>
    <row r="147" spans="2:28" s="83" customFormat="1" ht="15" hidden="1">
      <c r="B147" s="79" t="s">
        <v>65</v>
      </c>
      <c r="C147" s="79"/>
      <c r="D147" s="80"/>
      <c r="E147" s="81"/>
      <c r="F147" s="81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75"/>
      <c r="AA147" s="76">
        <f t="shared" si="11"/>
        <v>0</v>
      </c>
      <c r="AB147" s="191"/>
    </row>
    <row r="148" spans="2:28" s="83" customFormat="1" ht="15.5" hidden="1" thickBot="1">
      <c r="B148" s="79" t="s">
        <v>65</v>
      </c>
      <c r="C148" s="79"/>
      <c r="D148" s="80"/>
      <c r="E148" s="81"/>
      <c r="F148" s="81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75"/>
      <c r="AA148" s="76">
        <f t="shared" si="11"/>
        <v>0</v>
      </c>
      <c r="AB148" s="231"/>
    </row>
    <row r="149" spans="2:28" s="83" customFormat="1" ht="15" hidden="1">
      <c r="B149" s="79" t="s">
        <v>65</v>
      </c>
      <c r="C149" s="79"/>
      <c r="D149" s="80"/>
      <c r="E149" s="211"/>
      <c r="F149" s="211"/>
      <c r="G149" s="21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75"/>
      <c r="AA149" s="76">
        <f t="shared" si="11"/>
        <v>0</v>
      </c>
      <c r="AB149" s="281"/>
    </row>
    <row r="150" spans="2:28" s="83" customFormat="1" ht="15" hidden="1">
      <c r="B150" s="79" t="s">
        <v>65</v>
      </c>
      <c r="C150" s="82"/>
      <c r="D150" s="81"/>
      <c r="E150" s="233"/>
      <c r="F150" s="211"/>
      <c r="G150" s="21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75"/>
      <c r="AA150" s="76">
        <f t="shared" ref="AA150:AA161" si="12">SUM(H150:Z150)</f>
        <v>0</v>
      </c>
      <c r="AB150" s="561"/>
    </row>
    <row r="151" spans="2:28" s="83" customFormat="1" ht="15" hidden="1">
      <c r="B151" s="79" t="s">
        <v>65</v>
      </c>
      <c r="C151" s="82"/>
      <c r="D151" s="81"/>
      <c r="E151" s="233"/>
      <c r="F151" s="212"/>
      <c r="G151" s="21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75"/>
      <c r="AA151" s="76">
        <f t="shared" si="12"/>
        <v>0</v>
      </c>
      <c r="AB151" s="562"/>
    </row>
    <row r="152" spans="2:28" s="83" customFormat="1" ht="15" hidden="1">
      <c r="B152" s="79" t="s">
        <v>65</v>
      </c>
      <c r="C152" s="82"/>
      <c r="D152" s="81"/>
      <c r="E152" s="233"/>
      <c r="F152" s="211"/>
      <c r="G152" s="21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75"/>
      <c r="AA152" s="76">
        <f t="shared" si="12"/>
        <v>0</v>
      </c>
      <c r="AB152" s="562"/>
    </row>
    <row r="153" spans="2:28" s="83" customFormat="1" ht="15" hidden="1">
      <c r="B153" s="79" t="s">
        <v>65</v>
      </c>
      <c r="C153" s="82"/>
      <c r="D153" s="81"/>
      <c r="E153" s="211"/>
      <c r="F153" s="211"/>
      <c r="G153" s="21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75"/>
      <c r="AA153" s="76">
        <f t="shared" si="12"/>
        <v>0</v>
      </c>
      <c r="AB153" s="562"/>
    </row>
    <row r="154" spans="2:28" s="83" customFormat="1" ht="15" hidden="1">
      <c r="B154" s="79" t="s">
        <v>65</v>
      </c>
      <c r="C154" s="82"/>
      <c r="D154" s="81"/>
      <c r="E154" s="233"/>
      <c r="F154" s="212"/>
      <c r="G154" s="21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75"/>
      <c r="AA154" s="76">
        <f t="shared" si="12"/>
        <v>0</v>
      </c>
      <c r="AB154" s="562"/>
    </row>
    <row r="155" spans="2:28" s="83" customFormat="1" ht="15" hidden="1">
      <c r="B155" s="79" t="s">
        <v>65</v>
      </c>
      <c r="C155" s="82"/>
      <c r="D155" s="81"/>
      <c r="E155" s="81"/>
      <c r="F155" s="81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75"/>
      <c r="AA155" s="76">
        <f t="shared" si="12"/>
        <v>0</v>
      </c>
      <c r="AB155" s="562"/>
    </row>
    <row r="156" spans="2:28" s="83" customFormat="1" ht="15" hidden="1">
      <c r="B156" s="79" t="s">
        <v>65</v>
      </c>
      <c r="C156" s="82"/>
      <c r="D156" s="81"/>
      <c r="E156" s="81"/>
      <c r="F156" s="81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75"/>
      <c r="AA156" s="76">
        <f t="shared" si="12"/>
        <v>0</v>
      </c>
      <c r="AB156" s="562"/>
    </row>
    <row r="157" spans="2:28" s="83" customFormat="1" ht="15" hidden="1">
      <c r="B157" s="79" t="s">
        <v>65</v>
      </c>
      <c r="C157" s="82"/>
      <c r="D157" s="81"/>
      <c r="E157" s="81"/>
      <c r="F157" s="81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75"/>
      <c r="AA157" s="76">
        <f t="shared" si="12"/>
        <v>0</v>
      </c>
      <c r="AB157" s="562"/>
    </row>
    <row r="158" spans="2:28" s="83" customFormat="1" ht="15" hidden="1">
      <c r="B158" s="79" t="s">
        <v>65</v>
      </c>
      <c r="C158" s="82"/>
      <c r="D158" s="81"/>
      <c r="E158" s="81"/>
      <c r="F158" s="81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75"/>
      <c r="AA158" s="76">
        <f t="shared" si="12"/>
        <v>0</v>
      </c>
      <c r="AB158" s="562"/>
    </row>
    <row r="159" spans="2:28" s="83" customFormat="1" ht="15" hidden="1">
      <c r="B159" s="79" t="s">
        <v>65</v>
      </c>
      <c r="C159" s="82"/>
      <c r="D159" s="81"/>
      <c r="E159" s="81"/>
      <c r="F159" s="81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75"/>
      <c r="AA159" s="76">
        <f t="shared" si="12"/>
        <v>0</v>
      </c>
      <c r="AB159" s="562"/>
    </row>
    <row r="160" spans="2:28" s="83" customFormat="1" ht="15" hidden="1">
      <c r="B160" s="79" t="s">
        <v>65</v>
      </c>
      <c r="C160" s="82"/>
      <c r="D160" s="81"/>
      <c r="E160" s="81"/>
      <c r="F160" s="81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75"/>
      <c r="AA160" s="76">
        <f t="shared" si="12"/>
        <v>0</v>
      </c>
      <c r="AB160" s="562"/>
    </row>
    <row r="161" spans="2:28" s="83" customFormat="1" ht="15" hidden="1">
      <c r="B161" s="79" t="s">
        <v>65</v>
      </c>
      <c r="C161" s="82"/>
      <c r="D161" s="81"/>
      <c r="E161" s="81"/>
      <c r="F161" s="81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75"/>
      <c r="AA161" s="76">
        <f t="shared" si="12"/>
        <v>0</v>
      </c>
      <c r="AB161" s="562"/>
    </row>
    <row r="162" spans="2:28" s="83" customFormat="1" ht="15" hidden="1">
      <c r="B162" s="79" t="s">
        <v>65</v>
      </c>
      <c r="C162" s="82"/>
      <c r="D162" s="81"/>
      <c r="E162" s="81"/>
      <c r="F162" s="81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75"/>
      <c r="AA162" s="76">
        <f t="shared" si="11"/>
        <v>0</v>
      </c>
      <c r="AB162" s="562"/>
    </row>
    <row r="163" spans="2:28" s="83" customFormat="1" ht="15" hidden="1">
      <c r="B163" s="79" t="s">
        <v>65</v>
      </c>
      <c r="C163" s="82"/>
      <c r="D163" s="81"/>
      <c r="E163" s="211"/>
      <c r="F163" s="211"/>
      <c r="G163" s="21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75"/>
      <c r="AA163" s="76">
        <f t="shared" si="11"/>
        <v>0</v>
      </c>
      <c r="AB163" s="97"/>
    </row>
    <row r="164" spans="2:28" s="83" customFormat="1" thickTop="1" thickBot="1">
      <c r="B164" s="94" t="s">
        <v>71</v>
      </c>
      <c r="C164" s="571" t="s">
        <v>72</v>
      </c>
      <c r="D164" s="571"/>
      <c r="E164" s="571"/>
      <c r="F164" s="571"/>
      <c r="G164" s="571"/>
      <c r="H164" s="95">
        <f>SUM(H126:H163)</f>
        <v>0</v>
      </c>
      <c r="I164" s="95">
        <f t="shared" ref="I164:Z164" si="13">SUM(I126:I163)</f>
        <v>0</v>
      </c>
      <c r="J164" s="95">
        <f t="shared" si="13"/>
        <v>0</v>
      </c>
      <c r="K164" s="95">
        <f t="shared" si="13"/>
        <v>0</v>
      </c>
      <c r="L164" s="95">
        <f t="shared" si="13"/>
        <v>0</v>
      </c>
      <c r="M164" s="95">
        <f>SUM(M126:M163)</f>
        <v>0</v>
      </c>
      <c r="N164" s="95">
        <f t="shared" si="13"/>
        <v>0</v>
      </c>
      <c r="O164" s="95">
        <f t="shared" si="13"/>
        <v>0</v>
      </c>
      <c r="P164" s="95">
        <f t="shared" si="13"/>
        <v>0</v>
      </c>
      <c r="Q164" s="95">
        <f t="shared" si="13"/>
        <v>0</v>
      </c>
      <c r="R164" s="95">
        <f t="shared" si="13"/>
        <v>0</v>
      </c>
      <c r="S164" s="95">
        <f t="shared" si="13"/>
        <v>0</v>
      </c>
      <c r="T164" s="95">
        <f t="shared" si="13"/>
        <v>0</v>
      </c>
      <c r="U164" s="95">
        <f t="shared" si="13"/>
        <v>0</v>
      </c>
      <c r="V164" s="95">
        <f t="shared" si="13"/>
        <v>0</v>
      </c>
      <c r="W164" s="95">
        <f t="shared" si="13"/>
        <v>0</v>
      </c>
      <c r="X164" s="95">
        <f t="shared" si="13"/>
        <v>0</v>
      </c>
      <c r="Y164" s="95">
        <f t="shared" si="13"/>
        <v>0</v>
      </c>
      <c r="Z164" s="95">
        <f t="shared" si="13"/>
        <v>0</v>
      </c>
      <c r="AA164" s="95">
        <f>SUM(AA126:AA163)</f>
        <v>0</v>
      </c>
      <c r="AB164" s="95">
        <f>SUM(AB126:AB163)</f>
        <v>0</v>
      </c>
    </row>
    <row r="165" spans="2:28" s="83" customFormat="1" thickTop="1" thickBot="1">
      <c r="B165" s="98" t="s">
        <v>71</v>
      </c>
      <c r="C165" s="573" t="s">
        <v>72</v>
      </c>
      <c r="D165" s="573"/>
      <c r="E165" s="573"/>
      <c r="F165" s="573"/>
      <c r="G165" s="573"/>
      <c r="H165" s="99">
        <f>H164</f>
        <v>0</v>
      </c>
      <c r="I165" s="569">
        <f>+I164+J164</f>
        <v>0</v>
      </c>
      <c r="J165" s="570"/>
      <c r="K165" s="99">
        <f t="shared" ref="K165:P165" si="14">K164</f>
        <v>0</v>
      </c>
      <c r="L165" s="99">
        <f t="shared" si="14"/>
        <v>0</v>
      </c>
      <c r="M165" s="99">
        <f t="shared" si="14"/>
        <v>0</v>
      </c>
      <c r="N165" s="99">
        <f t="shared" si="14"/>
        <v>0</v>
      </c>
      <c r="O165" s="99">
        <f t="shared" si="14"/>
        <v>0</v>
      </c>
      <c r="P165" s="99">
        <f t="shared" si="14"/>
        <v>0</v>
      </c>
      <c r="Q165" s="572">
        <f>+Q164+R164+S164+T164+V164</f>
        <v>0</v>
      </c>
      <c r="R165" s="572"/>
      <c r="S165" s="572"/>
      <c r="T165" s="572"/>
      <c r="U165" s="572"/>
      <c r="V165" s="572"/>
      <c r="W165" s="572">
        <f>+W164+X164+Y164</f>
        <v>0</v>
      </c>
      <c r="X165" s="572"/>
      <c r="Y165" s="572"/>
      <c r="Z165" s="99">
        <f>Z164</f>
        <v>0</v>
      </c>
      <c r="AA165" s="99">
        <f>AA164</f>
        <v>0</v>
      </c>
      <c r="AB165" s="99">
        <f>AB164</f>
        <v>0</v>
      </c>
    </row>
    <row r="166" spans="2:28" s="83" customFormat="1" ht="15.5" thickTop="1">
      <c r="B166" s="79" t="s">
        <v>75</v>
      </c>
      <c r="C166" s="79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75"/>
      <c r="AA166" s="76">
        <f t="shared" ref="AA166:AA171" si="15">SUM(H166:Z166)</f>
        <v>0</v>
      </c>
      <c r="AB166" s="574">
        <f>SUM(AA166:AA167)</f>
        <v>0</v>
      </c>
    </row>
    <row r="167" spans="2:28" s="83" customFormat="1" ht="15.5" thickBot="1">
      <c r="B167" s="79" t="s">
        <v>75</v>
      </c>
      <c r="C167" s="79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75"/>
      <c r="AA167" s="76">
        <f t="shared" si="15"/>
        <v>0</v>
      </c>
      <c r="AB167" s="563"/>
    </row>
    <row r="168" spans="2:28" s="83" customFormat="1" ht="15.5" thickBot="1">
      <c r="B168" s="79" t="s">
        <v>75</v>
      </c>
      <c r="C168" s="79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75"/>
      <c r="AA168" s="76">
        <f t="shared" si="15"/>
        <v>0</v>
      </c>
      <c r="AB168" s="401">
        <v>1</v>
      </c>
    </row>
    <row r="169" spans="2:28" s="83" customFormat="1" ht="15.5" thickBot="1">
      <c r="B169" s="79" t="s">
        <v>75</v>
      </c>
      <c r="C169" s="79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75"/>
      <c r="AA169" s="76">
        <f t="shared" si="15"/>
        <v>0</v>
      </c>
      <c r="AB169" s="231"/>
    </row>
    <row r="170" spans="2:28" s="83" customFormat="1" ht="15">
      <c r="B170" s="79" t="s">
        <v>75</v>
      </c>
      <c r="C170" s="79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75"/>
      <c r="AA170" s="76">
        <f t="shared" si="15"/>
        <v>0</v>
      </c>
      <c r="AB170" s="561">
        <f>SUM(AA170:AA171)</f>
        <v>0</v>
      </c>
    </row>
    <row r="171" spans="2:28" s="83" customFormat="1" ht="15.5" thickBot="1">
      <c r="B171" s="79" t="s">
        <v>75</v>
      </c>
      <c r="C171" s="79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75"/>
      <c r="AA171" s="76">
        <f t="shared" si="15"/>
        <v>0</v>
      </c>
      <c r="AB171" s="562"/>
    </row>
    <row r="172" spans="2:28" s="83" customFormat="1" ht="15">
      <c r="B172" s="79" t="s">
        <v>75</v>
      </c>
      <c r="C172" s="79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75"/>
      <c r="AA172" s="76">
        <f t="shared" ref="AA172:AA200" si="16">SUM(H172:Y172)</f>
        <v>0</v>
      </c>
      <c r="AB172" s="199"/>
    </row>
    <row r="173" spans="2:28" s="83" customFormat="1" ht="15">
      <c r="B173" s="79" t="s">
        <v>75</v>
      </c>
      <c r="C173" s="79"/>
      <c r="D173" s="80"/>
      <c r="E173" s="81"/>
      <c r="F173" s="81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75"/>
      <c r="AA173" s="76">
        <f t="shared" si="16"/>
        <v>0</v>
      </c>
      <c r="AB173" s="191"/>
    </row>
    <row r="174" spans="2:28" s="83" customFormat="1" ht="15">
      <c r="B174" s="79" t="s">
        <v>75</v>
      </c>
      <c r="C174" s="79"/>
      <c r="D174" s="80"/>
      <c r="E174" s="81"/>
      <c r="F174" s="81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75"/>
      <c r="AA174" s="76">
        <f t="shared" si="16"/>
        <v>0</v>
      </c>
      <c r="AB174" s="191"/>
    </row>
    <row r="175" spans="2:28" s="83" customFormat="1" ht="15">
      <c r="B175" s="79" t="s">
        <v>75</v>
      </c>
      <c r="C175" s="79"/>
      <c r="D175" s="80"/>
      <c r="E175" s="81"/>
      <c r="F175" s="81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75"/>
      <c r="AA175" s="76">
        <f t="shared" si="16"/>
        <v>0</v>
      </c>
      <c r="AB175" s="191"/>
    </row>
    <row r="176" spans="2:28" s="83" customFormat="1" ht="15">
      <c r="B176" s="79" t="s">
        <v>75</v>
      </c>
      <c r="C176" s="79"/>
      <c r="D176" s="80"/>
      <c r="E176" s="81"/>
      <c r="F176" s="81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75"/>
      <c r="AA176" s="76">
        <f t="shared" si="16"/>
        <v>0</v>
      </c>
      <c r="AB176" s="191"/>
    </row>
    <row r="177" spans="2:28" s="83" customFormat="1" ht="15">
      <c r="B177" s="79" t="s">
        <v>75</v>
      </c>
      <c r="C177" s="79"/>
      <c r="D177" s="80"/>
      <c r="E177" s="81"/>
      <c r="F177" s="81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75"/>
      <c r="AA177" s="76">
        <f t="shared" si="16"/>
        <v>0</v>
      </c>
      <c r="AB177" s="191"/>
    </row>
    <row r="178" spans="2:28" s="83" customFormat="1" ht="15.5" thickBot="1">
      <c r="B178" s="79" t="s">
        <v>75</v>
      </c>
      <c r="C178" s="79"/>
      <c r="D178" s="80"/>
      <c r="E178" s="81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75"/>
      <c r="AA178" s="76">
        <f t="shared" si="16"/>
        <v>0</v>
      </c>
      <c r="AB178" s="231"/>
    </row>
    <row r="179" spans="2:28" s="83" customFormat="1" ht="15">
      <c r="B179" s="79" t="s">
        <v>75</v>
      </c>
      <c r="C179" s="79"/>
      <c r="D179" s="80"/>
      <c r="E179" s="81"/>
      <c r="F179" s="81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75"/>
      <c r="AA179" s="76">
        <f t="shared" si="16"/>
        <v>0</v>
      </c>
      <c r="AB179" s="191"/>
    </row>
    <row r="180" spans="2:28" s="83" customFormat="1" ht="15">
      <c r="B180" s="79" t="s">
        <v>75</v>
      </c>
      <c r="C180" s="79"/>
      <c r="D180" s="80"/>
      <c r="E180" s="81"/>
      <c r="F180" s="81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75"/>
      <c r="AA180" s="76">
        <f t="shared" si="16"/>
        <v>0</v>
      </c>
      <c r="AB180" s="191"/>
    </row>
    <row r="181" spans="2:28" s="83" customFormat="1" ht="15.5" thickBot="1">
      <c r="B181" s="79" t="s">
        <v>75</v>
      </c>
      <c r="C181" s="79"/>
      <c r="D181" s="80"/>
      <c r="E181" s="81"/>
      <c r="F181" s="81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75"/>
      <c r="AA181" s="76">
        <f t="shared" si="16"/>
        <v>0</v>
      </c>
      <c r="AB181" s="231"/>
    </row>
    <row r="182" spans="2:28" s="83" customFormat="1" ht="15">
      <c r="B182" s="79" t="s">
        <v>75</v>
      </c>
      <c r="C182" s="82"/>
      <c r="D182" s="81"/>
      <c r="E182" s="81"/>
      <c r="F182" s="81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75"/>
      <c r="AA182" s="76">
        <f t="shared" si="16"/>
        <v>0</v>
      </c>
      <c r="AB182" s="561">
        <f>SUM(AA182:AA185)</f>
        <v>0</v>
      </c>
    </row>
    <row r="183" spans="2:28" s="83" customFormat="1" ht="15">
      <c r="B183" s="79" t="s">
        <v>75</v>
      </c>
      <c r="C183" s="82"/>
      <c r="D183" s="81"/>
      <c r="E183" s="81"/>
      <c r="F183" s="81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75"/>
      <c r="AA183" s="76">
        <f t="shared" si="16"/>
        <v>0</v>
      </c>
      <c r="AB183" s="562"/>
    </row>
    <row r="184" spans="2:28" s="83" customFormat="1" ht="15">
      <c r="B184" s="79" t="s">
        <v>75</v>
      </c>
      <c r="C184" s="82"/>
      <c r="D184" s="81"/>
      <c r="E184" s="81"/>
      <c r="F184" s="81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75"/>
      <c r="AA184" s="76">
        <f t="shared" si="16"/>
        <v>0</v>
      </c>
      <c r="AB184" s="562"/>
    </row>
    <row r="185" spans="2:28" s="83" customFormat="1" ht="15.5" thickBot="1">
      <c r="B185" s="79" t="s">
        <v>75</v>
      </c>
      <c r="C185" s="82"/>
      <c r="D185" s="81"/>
      <c r="E185" s="81"/>
      <c r="F185" s="81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75"/>
      <c r="AA185" s="76">
        <f t="shared" si="16"/>
        <v>0</v>
      </c>
      <c r="AB185" s="563"/>
    </row>
    <row r="186" spans="2:28" s="83" customFormat="1" ht="15.5" thickBot="1">
      <c r="B186" s="79" t="s">
        <v>75</v>
      </c>
      <c r="C186" s="82"/>
      <c r="D186" s="81"/>
      <c r="E186" s="217"/>
      <c r="F186" s="217"/>
      <c r="G186" s="218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75"/>
      <c r="AA186" s="76">
        <f t="shared" si="16"/>
        <v>0</v>
      </c>
      <c r="AB186" s="297">
        <v>0</v>
      </c>
    </row>
    <row r="187" spans="2:28" s="83" customFormat="1" ht="15">
      <c r="B187" s="79" t="s">
        <v>75</v>
      </c>
      <c r="C187" s="82"/>
      <c r="D187" s="81"/>
      <c r="E187" s="81"/>
      <c r="F187" s="81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75"/>
      <c r="AA187" s="76">
        <f t="shared" si="16"/>
        <v>0</v>
      </c>
      <c r="AB187" s="199"/>
    </row>
    <row r="188" spans="2:28" s="83" customFormat="1" ht="15">
      <c r="B188" s="79" t="s">
        <v>75</v>
      </c>
      <c r="C188" s="82"/>
      <c r="D188" s="81"/>
      <c r="E188" s="217"/>
      <c r="F188" s="217"/>
      <c r="G188" s="218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75"/>
      <c r="AA188" s="76">
        <f t="shared" si="16"/>
        <v>0</v>
      </c>
      <c r="AB188" s="191"/>
    </row>
    <row r="189" spans="2:28" s="83" customFormat="1" ht="15">
      <c r="B189" s="79" t="s">
        <v>75</v>
      </c>
      <c r="C189" s="82"/>
      <c r="D189" s="81"/>
      <c r="E189" s="217"/>
      <c r="F189" s="217"/>
      <c r="G189" s="218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75"/>
      <c r="AA189" s="76">
        <f t="shared" si="16"/>
        <v>0</v>
      </c>
      <c r="AB189" s="191"/>
    </row>
    <row r="190" spans="2:28" s="83" customFormat="1" ht="15">
      <c r="B190" s="79" t="s">
        <v>75</v>
      </c>
      <c r="C190" s="82"/>
      <c r="D190" s="81"/>
      <c r="E190" s="217"/>
      <c r="F190" s="217"/>
      <c r="G190" s="218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75"/>
      <c r="AA190" s="76">
        <f t="shared" si="16"/>
        <v>0</v>
      </c>
      <c r="AB190" s="191"/>
    </row>
    <row r="191" spans="2:28" s="83" customFormat="1" ht="15">
      <c r="B191" s="79" t="s">
        <v>75</v>
      </c>
      <c r="C191" s="82"/>
      <c r="D191" s="81"/>
      <c r="E191" s="81"/>
      <c r="F191" s="81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75"/>
      <c r="AA191" s="76">
        <f>SUM(H191:Y191)</f>
        <v>0</v>
      </c>
      <c r="AB191" s="191"/>
    </row>
    <row r="192" spans="2:28" s="83" customFormat="1" ht="15">
      <c r="B192" s="79" t="s">
        <v>75</v>
      </c>
      <c r="C192" s="82"/>
      <c r="D192" s="81"/>
      <c r="E192" s="81"/>
      <c r="F192" s="81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75"/>
      <c r="AA192" s="76">
        <f>SUM(H192:Y192)</f>
        <v>0</v>
      </c>
      <c r="AB192" s="191"/>
    </row>
    <row r="193" spans="2:28" s="83" customFormat="1" ht="15">
      <c r="B193" s="79" t="s">
        <v>75</v>
      </c>
      <c r="C193" s="82"/>
      <c r="D193" s="81"/>
      <c r="E193" s="81"/>
      <c r="F193" s="81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75"/>
      <c r="AA193" s="76">
        <f>SUM(H193:Y193)</f>
        <v>0</v>
      </c>
      <c r="AB193" s="191"/>
    </row>
    <row r="194" spans="2:28" s="83" customFormat="1" ht="15">
      <c r="B194" s="79" t="s">
        <v>75</v>
      </c>
      <c r="C194" s="82"/>
      <c r="D194" s="81"/>
      <c r="E194" s="81"/>
      <c r="F194" s="81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75"/>
      <c r="AA194" s="76">
        <f>SUM(H194:Y194)</f>
        <v>0</v>
      </c>
      <c r="AB194" s="191"/>
    </row>
    <row r="195" spans="2:28" s="83" customFormat="1" ht="15">
      <c r="B195" s="79" t="s">
        <v>75</v>
      </c>
      <c r="C195" s="82"/>
      <c r="D195" s="81"/>
      <c r="E195" s="81"/>
      <c r="F195" s="81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75"/>
      <c r="AA195" s="76">
        <f t="shared" si="16"/>
        <v>0</v>
      </c>
      <c r="AB195" s="191"/>
    </row>
    <row r="196" spans="2:28" s="83" customFormat="1" ht="15">
      <c r="B196" s="79" t="s">
        <v>75</v>
      </c>
      <c r="C196" s="82"/>
      <c r="D196" s="81"/>
      <c r="E196" s="81"/>
      <c r="F196" s="81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75"/>
      <c r="AA196" s="76">
        <f t="shared" si="16"/>
        <v>0</v>
      </c>
      <c r="AB196" s="191"/>
    </row>
    <row r="197" spans="2:28" s="83" customFormat="1" ht="15">
      <c r="B197" s="79" t="s">
        <v>75</v>
      </c>
      <c r="C197" s="82"/>
      <c r="D197" s="81"/>
      <c r="E197" s="81"/>
      <c r="F197" s="81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75"/>
      <c r="AA197" s="76">
        <f t="shared" si="16"/>
        <v>0</v>
      </c>
      <c r="AB197" s="213"/>
    </row>
    <row r="198" spans="2:28" s="83" customFormat="1" ht="15">
      <c r="B198" s="79" t="s">
        <v>75</v>
      </c>
      <c r="C198" s="82"/>
      <c r="D198" s="81"/>
      <c r="E198" s="81"/>
      <c r="F198" s="81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75"/>
      <c r="AA198" s="76">
        <f t="shared" si="16"/>
        <v>0</v>
      </c>
      <c r="AB198" s="77"/>
    </row>
    <row r="199" spans="2:28" s="83" customFormat="1" ht="15">
      <c r="B199" s="79" t="s">
        <v>75</v>
      </c>
      <c r="C199" s="82"/>
      <c r="D199" s="81"/>
      <c r="E199" s="81"/>
      <c r="F199" s="81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75"/>
      <c r="AA199" s="76">
        <f t="shared" si="16"/>
        <v>0</v>
      </c>
      <c r="AB199" s="77"/>
    </row>
    <row r="200" spans="2:28" s="83" customFormat="1" ht="15.5" thickBot="1">
      <c r="B200" s="79" t="s">
        <v>75</v>
      </c>
      <c r="C200" s="82"/>
      <c r="D200" s="81"/>
      <c r="E200" s="81"/>
      <c r="F200" s="81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75"/>
      <c r="AA200" s="76">
        <f t="shared" si="16"/>
        <v>0</v>
      </c>
      <c r="AB200" s="77"/>
    </row>
    <row r="201" spans="2:28" s="83" customFormat="1" thickTop="1" thickBot="1">
      <c r="B201" s="94" t="s">
        <v>69</v>
      </c>
      <c r="C201" s="571" t="s">
        <v>70</v>
      </c>
      <c r="D201" s="571"/>
      <c r="E201" s="571"/>
      <c r="F201" s="571"/>
      <c r="G201" s="571"/>
      <c r="H201" s="95">
        <f>SUM(H166:H200)</f>
        <v>0</v>
      </c>
      <c r="I201" s="95">
        <f t="shared" ref="I201:Z201" si="17">SUM(I166:I200)</f>
        <v>0</v>
      </c>
      <c r="J201" s="95">
        <f t="shared" si="17"/>
        <v>0</v>
      </c>
      <c r="K201" s="95">
        <f t="shared" si="17"/>
        <v>0</v>
      </c>
      <c r="L201" s="95">
        <f t="shared" si="17"/>
        <v>0</v>
      </c>
      <c r="M201" s="95">
        <f>SUM(M166:M200)</f>
        <v>0</v>
      </c>
      <c r="N201" s="95">
        <f t="shared" si="17"/>
        <v>0</v>
      </c>
      <c r="O201" s="95">
        <f t="shared" si="17"/>
        <v>0</v>
      </c>
      <c r="P201" s="95">
        <f t="shared" si="17"/>
        <v>0</v>
      </c>
      <c r="Q201" s="95">
        <f t="shared" si="17"/>
        <v>0</v>
      </c>
      <c r="R201" s="95">
        <f t="shared" si="17"/>
        <v>0</v>
      </c>
      <c r="S201" s="95">
        <f t="shared" si="17"/>
        <v>0</v>
      </c>
      <c r="T201" s="95">
        <f t="shared" si="17"/>
        <v>0</v>
      </c>
      <c r="U201" s="95">
        <f>SUM(U166:U200)</f>
        <v>0</v>
      </c>
      <c r="V201" s="95">
        <f t="shared" si="17"/>
        <v>0</v>
      </c>
      <c r="W201" s="95">
        <f t="shared" si="17"/>
        <v>0</v>
      </c>
      <c r="X201" s="95">
        <f t="shared" si="17"/>
        <v>0</v>
      </c>
      <c r="Y201" s="95">
        <f t="shared" si="17"/>
        <v>0</v>
      </c>
      <c r="Z201" s="95">
        <f t="shared" si="17"/>
        <v>0</v>
      </c>
      <c r="AA201" s="106">
        <f>SUM(AA166:AA200)</f>
        <v>0</v>
      </c>
      <c r="AB201" s="93">
        <f>SUM(AB166:AB200)</f>
        <v>1</v>
      </c>
    </row>
    <row r="202" spans="2:28" s="83" customFormat="1" thickTop="1" thickBot="1">
      <c r="B202" s="98" t="s">
        <v>69</v>
      </c>
      <c r="C202" s="573" t="s">
        <v>70</v>
      </c>
      <c r="D202" s="573"/>
      <c r="E202" s="573"/>
      <c r="F202" s="573"/>
      <c r="G202" s="573"/>
      <c r="H202" s="99">
        <f>H201</f>
        <v>0</v>
      </c>
      <c r="I202" s="569">
        <f>+I201+J201</f>
        <v>0</v>
      </c>
      <c r="J202" s="570"/>
      <c r="K202" s="99">
        <f t="shared" ref="K202:P202" si="18">K201</f>
        <v>0</v>
      </c>
      <c r="L202" s="99">
        <f t="shared" si="18"/>
        <v>0</v>
      </c>
      <c r="M202" s="99">
        <f t="shared" si="18"/>
        <v>0</v>
      </c>
      <c r="N202" s="99">
        <f t="shared" si="18"/>
        <v>0</v>
      </c>
      <c r="O202" s="99">
        <f t="shared" si="18"/>
        <v>0</v>
      </c>
      <c r="P202" s="99">
        <f t="shared" si="18"/>
        <v>0</v>
      </c>
      <c r="Q202" s="572">
        <f>+Q201+R201+S201+T201+U201+V201</f>
        <v>0</v>
      </c>
      <c r="R202" s="572"/>
      <c r="S202" s="572"/>
      <c r="T202" s="572"/>
      <c r="U202" s="572"/>
      <c r="V202" s="572"/>
      <c r="W202" s="572">
        <f>+W201+X201+Y201</f>
        <v>0</v>
      </c>
      <c r="X202" s="572"/>
      <c r="Y202" s="572"/>
      <c r="Z202" s="99">
        <f>Z201</f>
        <v>0</v>
      </c>
      <c r="AA202" s="99">
        <f>AA201</f>
        <v>0</v>
      </c>
      <c r="AB202" s="99">
        <f>AB201</f>
        <v>1</v>
      </c>
    </row>
    <row r="203" spans="2:28" s="83" customFormat="1" ht="15.5" hidden="1" thickTop="1">
      <c r="B203" s="79" t="s">
        <v>76</v>
      </c>
      <c r="C203" s="79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75"/>
      <c r="AA203" s="76">
        <f t="shared" ref="AA203:AA233" si="19">SUM(H203:Y203)</f>
        <v>0</v>
      </c>
      <c r="AB203" s="574">
        <f>SUM(AA203:AA205)</f>
        <v>0</v>
      </c>
    </row>
    <row r="204" spans="2:28" s="83" customFormat="1" ht="15" hidden="1">
      <c r="B204" s="79" t="s">
        <v>76</v>
      </c>
      <c r="C204" s="79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75"/>
      <c r="AA204" s="76">
        <f t="shared" si="19"/>
        <v>0</v>
      </c>
      <c r="AB204" s="562"/>
    </row>
    <row r="205" spans="2:28" s="83" customFormat="1" ht="15" hidden="1">
      <c r="B205" s="79" t="s">
        <v>76</v>
      </c>
      <c r="C205" s="79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75"/>
      <c r="AA205" s="76">
        <f t="shared" si="19"/>
        <v>0</v>
      </c>
      <c r="AB205" s="562"/>
    </row>
    <row r="206" spans="2:28" s="83" customFormat="1" ht="15" hidden="1">
      <c r="B206" s="79" t="s">
        <v>76</v>
      </c>
      <c r="C206" s="79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75"/>
      <c r="AA206" s="76">
        <f t="shared" si="19"/>
        <v>0</v>
      </c>
      <c r="AB206" s="561">
        <f>SUM(AA206:AA213)</f>
        <v>0</v>
      </c>
    </row>
    <row r="207" spans="2:28" s="83" customFormat="1" ht="17.25" hidden="1" customHeight="1">
      <c r="B207" s="79" t="s">
        <v>76</v>
      </c>
      <c r="C207" s="79"/>
      <c r="D207" s="80"/>
      <c r="E207" s="373"/>
      <c r="F207" s="373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75"/>
      <c r="AA207" s="76">
        <f t="shared" si="19"/>
        <v>0</v>
      </c>
      <c r="AB207" s="562"/>
    </row>
    <row r="208" spans="2:28" s="83" customFormat="1" ht="15.75" hidden="1" customHeight="1">
      <c r="B208" s="79" t="s">
        <v>76</v>
      </c>
      <c r="C208" s="79"/>
      <c r="D208" s="80"/>
      <c r="E208" s="373"/>
      <c r="F208" s="373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75"/>
      <c r="AA208" s="76">
        <f t="shared" si="19"/>
        <v>0</v>
      </c>
      <c r="AB208" s="562"/>
    </row>
    <row r="209" spans="2:28" s="83" customFormat="1" ht="15" hidden="1">
      <c r="B209" s="79" t="s">
        <v>76</v>
      </c>
      <c r="C209" s="79"/>
      <c r="D209" s="80"/>
      <c r="E209" s="81"/>
      <c r="F209" s="81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75"/>
      <c r="AA209" s="76">
        <f t="shared" si="19"/>
        <v>0</v>
      </c>
      <c r="AB209" s="562"/>
    </row>
    <row r="210" spans="2:28" s="83" customFormat="1" ht="15" hidden="1">
      <c r="B210" s="79" t="s">
        <v>76</v>
      </c>
      <c r="C210" s="79"/>
      <c r="D210" s="80"/>
      <c r="E210" s="81"/>
      <c r="F210" s="81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75"/>
      <c r="AA210" s="76">
        <f t="shared" si="19"/>
        <v>0</v>
      </c>
      <c r="AB210" s="562"/>
    </row>
    <row r="211" spans="2:28" s="83" customFormat="1" ht="15" hidden="1">
      <c r="B211" s="79" t="s">
        <v>76</v>
      </c>
      <c r="C211" s="79"/>
      <c r="D211" s="80"/>
      <c r="E211" s="81"/>
      <c r="F211" s="81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75"/>
      <c r="AA211" s="76">
        <f t="shared" si="19"/>
        <v>0</v>
      </c>
      <c r="AB211" s="562"/>
    </row>
    <row r="212" spans="2:28" s="83" customFormat="1" ht="15" hidden="1">
      <c r="B212" s="79" t="s">
        <v>76</v>
      </c>
      <c r="C212" s="79"/>
      <c r="D212" s="80"/>
      <c r="E212" s="81"/>
      <c r="F212" s="81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75"/>
      <c r="AA212" s="76">
        <f t="shared" si="19"/>
        <v>0</v>
      </c>
      <c r="AB212" s="562"/>
    </row>
    <row r="213" spans="2:28" s="83" customFormat="1" ht="15.5" hidden="1" thickBot="1">
      <c r="B213" s="79" t="s">
        <v>76</v>
      </c>
      <c r="C213" s="79"/>
      <c r="D213" s="80"/>
      <c r="E213" s="81"/>
      <c r="F213" s="81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75"/>
      <c r="AA213" s="76">
        <f t="shared" si="19"/>
        <v>0</v>
      </c>
      <c r="AB213" s="563"/>
    </row>
    <row r="214" spans="2:28" s="83" customFormat="1" ht="15" hidden="1">
      <c r="B214" s="79" t="s">
        <v>76</v>
      </c>
      <c r="C214" s="79"/>
      <c r="D214" s="80"/>
      <c r="E214" s="81"/>
      <c r="F214" s="81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75"/>
      <c r="AA214" s="76">
        <f t="shared" si="19"/>
        <v>0</v>
      </c>
      <c r="AB214" s="191"/>
    </row>
    <row r="215" spans="2:28" s="83" customFormat="1" ht="15" hidden="1">
      <c r="B215" s="79" t="s">
        <v>76</v>
      </c>
      <c r="C215" s="82"/>
      <c r="D215" s="81"/>
      <c r="E215" s="81"/>
      <c r="F215" s="81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75"/>
      <c r="AA215" s="76">
        <f t="shared" si="19"/>
        <v>0</v>
      </c>
      <c r="AB215" s="191"/>
    </row>
    <row r="216" spans="2:28" s="83" customFormat="1" ht="15" hidden="1">
      <c r="B216" s="79" t="s">
        <v>76</v>
      </c>
      <c r="C216" s="82"/>
      <c r="D216" s="81"/>
      <c r="E216" s="81"/>
      <c r="F216" s="81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75"/>
      <c r="AA216" s="76">
        <f t="shared" si="19"/>
        <v>0</v>
      </c>
      <c r="AB216" s="191"/>
    </row>
    <row r="217" spans="2:28" s="83" customFormat="1" ht="15" hidden="1">
      <c r="B217" s="79" t="s">
        <v>76</v>
      </c>
      <c r="C217" s="82"/>
      <c r="D217" s="81"/>
      <c r="E217" s="81"/>
      <c r="F217" s="81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75"/>
      <c r="AA217" s="76">
        <f t="shared" si="19"/>
        <v>0</v>
      </c>
      <c r="AB217" s="191"/>
    </row>
    <row r="218" spans="2:28" s="83" customFormat="1" ht="15" hidden="1">
      <c r="B218" s="79" t="s">
        <v>76</v>
      </c>
      <c r="C218" s="82"/>
      <c r="D218" s="81"/>
      <c r="E218" s="81"/>
      <c r="F218" s="81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75"/>
      <c r="AA218" s="76">
        <f t="shared" si="19"/>
        <v>0</v>
      </c>
      <c r="AB218" s="191"/>
    </row>
    <row r="219" spans="2:28" s="83" customFormat="1" ht="15" hidden="1">
      <c r="B219" s="79" t="s">
        <v>76</v>
      </c>
      <c r="C219" s="82"/>
      <c r="D219" s="81"/>
      <c r="E219" s="81"/>
      <c r="F219" s="81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75"/>
      <c r="AA219" s="76">
        <f t="shared" si="19"/>
        <v>0</v>
      </c>
      <c r="AB219" s="191"/>
    </row>
    <row r="220" spans="2:28" s="83" customFormat="1" ht="15" hidden="1">
      <c r="B220" s="79" t="s">
        <v>76</v>
      </c>
      <c r="C220" s="82"/>
      <c r="D220" s="81"/>
      <c r="E220" s="81"/>
      <c r="F220" s="81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75"/>
      <c r="AA220" s="76">
        <f t="shared" si="19"/>
        <v>0</v>
      </c>
      <c r="AB220" s="191"/>
    </row>
    <row r="221" spans="2:28" s="83" customFormat="1" ht="15" hidden="1">
      <c r="B221" s="79" t="s">
        <v>76</v>
      </c>
      <c r="C221" s="82"/>
      <c r="D221" s="81"/>
      <c r="E221" s="81"/>
      <c r="F221" s="81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75"/>
      <c r="AA221" s="76">
        <f t="shared" si="19"/>
        <v>0</v>
      </c>
      <c r="AB221" s="191"/>
    </row>
    <row r="222" spans="2:28" s="83" customFormat="1" ht="15.5" hidden="1" thickBot="1">
      <c r="B222" s="79" t="s">
        <v>76</v>
      </c>
      <c r="C222" s="82"/>
      <c r="D222" s="81"/>
      <c r="E222" s="81"/>
      <c r="F222" s="81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75"/>
      <c r="AA222" s="76">
        <f t="shared" si="19"/>
        <v>0</v>
      </c>
      <c r="AB222" s="231"/>
    </row>
    <row r="223" spans="2:28" s="83" customFormat="1" ht="15" hidden="1">
      <c r="B223" s="79" t="s">
        <v>76</v>
      </c>
      <c r="C223" s="82"/>
      <c r="D223" s="81"/>
      <c r="E223" s="81"/>
      <c r="F223" s="81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75"/>
      <c r="AA223" s="76">
        <f t="shared" si="19"/>
        <v>0</v>
      </c>
      <c r="AB223" s="561">
        <f>SUM(AA223:AA231)</f>
        <v>0</v>
      </c>
    </row>
    <row r="224" spans="2:28" s="83" customFormat="1" ht="15" hidden="1">
      <c r="B224" s="79" t="s">
        <v>76</v>
      </c>
      <c r="C224" s="82"/>
      <c r="D224" s="81"/>
      <c r="E224" s="81"/>
      <c r="F224" s="81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75"/>
      <c r="AA224" s="76">
        <f t="shared" si="19"/>
        <v>0</v>
      </c>
      <c r="AB224" s="562"/>
    </row>
    <row r="225" spans="2:28" s="83" customFormat="1" ht="15" hidden="1">
      <c r="B225" s="79" t="s">
        <v>76</v>
      </c>
      <c r="C225" s="82"/>
      <c r="D225" s="81"/>
      <c r="E225" s="81"/>
      <c r="F225" s="81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75"/>
      <c r="AA225" s="76">
        <f t="shared" si="19"/>
        <v>0</v>
      </c>
      <c r="AB225" s="562"/>
    </row>
    <row r="226" spans="2:28" s="83" customFormat="1" ht="15" hidden="1">
      <c r="B226" s="79" t="s">
        <v>76</v>
      </c>
      <c r="C226" s="82"/>
      <c r="D226" s="81"/>
      <c r="E226" s="81"/>
      <c r="F226" s="81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75"/>
      <c r="AA226" s="76">
        <f t="shared" si="19"/>
        <v>0</v>
      </c>
      <c r="AB226" s="562"/>
    </row>
    <row r="227" spans="2:28" s="83" customFormat="1" ht="15" hidden="1">
      <c r="B227" s="79" t="s">
        <v>76</v>
      </c>
      <c r="C227" s="82"/>
      <c r="D227" s="81"/>
      <c r="E227" s="81"/>
      <c r="F227" s="81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75"/>
      <c r="AA227" s="76">
        <f t="shared" si="19"/>
        <v>0</v>
      </c>
      <c r="AB227" s="562"/>
    </row>
    <row r="228" spans="2:28" s="83" customFormat="1" ht="15" hidden="1">
      <c r="B228" s="79" t="s">
        <v>76</v>
      </c>
      <c r="C228" s="82"/>
      <c r="D228" s="81"/>
      <c r="E228" s="81"/>
      <c r="F228" s="81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75"/>
      <c r="AA228" s="76">
        <f t="shared" si="19"/>
        <v>0</v>
      </c>
      <c r="AB228" s="562"/>
    </row>
    <row r="229" spans="2:28" s="83" customFormat="1" ht="15" hidden="1">
      <c r="B229" s="79" t="s">
        <v>76</v>
      </c>
      <c r="C229" s="82"/>
      <c r="D229" s="81"/>
      <c r="E229" s="81"/>
      <c r="F229" s="81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75"/>
      <c r="AA229" s="76">
        <f t="shared" si="19"/>
        <v>0</v>
      </c>
      <c r="AB229" s="562"/>
    </row>
    <row r="230" spans="2:28" s="83" customFormat="1" ht="15" hidden="1">
      <c r="B230" s="79" t="s">
        <v>76</v>
      </c>
      <c r="C230" s="82"/>
      <c r="D230" s="81"/>
      <c r="E230" s="81"/>
      <c r="F230" s="81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75"/>
      <c r="AA230" s="76">
        <f t="shared" si="19"/>
        <v>0</v>
      </c>
      <c r="AB230" s="562"/>
    </row>
    <row r="231" spans="2:28" s="83" customFormat="1" ht="15" hidden="1">
      <c r="B231" s="79" t="s">
        <v>76</v>
      </c>
      <c r="C231" s="82"/>
      <c r="D231" s="81"/>
      <c r="E231" s="81"/>
      <c r="F231" s="81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75"/>
      <c r="AA231" s="76">
        <f t="shared" si="19"/>
        <v>0</v>
      </c>
      <c r="AB231" s="564"/>
    </row>
    <row r="232" spans="2:28" s="83" customFormat="1" ht="15" hidden="1">
      <c r="B232" s="79" t="s">
        <v>76</v>
      </c>
      <c r="C232" s="82"/>
      <c r="D232" s="81"/>
      <c r="E232" s="81"/>
      <c r="F232" s="81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75"/>
      <c r="AA232" s="76">
        <f t="shared" si="19"/>
        <v>0</v>
      </c>
      <c r="AB232" s="77"/>
    </row>
    <row r="233" spans="2:28" s="83" customFormat="1" thickTop="1" thickBot="1">
      <c r="B233" s="79" t="s">
        <v>76</v>
      </c>
      <c r="C233" s="82"/>
      <c r="D233" s="81"/>
      <c r="E233" s="81"/>
      <c r="F233" s="81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75"/>
      <c r="AA233" s="76">
        <f t="shared" si="19"/>
        <v>0</v>
      </c>
      <c r="AB233" s="77"/>
    </row>
    <row r="234" spans="2:28" s="83" customFormat="1" thickTop="1" thickBot="1">
      <c r="B234" s="94" t="s">
        <v>68</v>
      </c>
      <c r="C234" s="571" t="s">
        <v>67</v>
      </c>
      <c r="D234" s="571"/>
      <c r="E234" s="571"/>
      <c r="F234" s="571"/>
      <c r="G234" s="571"/>
      <c r="H234" s="95">
        <f>SUM(H203:H233)</f>
        <v>0</v>
      </c>
      <c r="I234" s="95">
        <f t="shared" ref="I234:X234" si="20">SUM(I203:I233)</f>
        <v>0</v>
      </c>
      <c r="J234" s="95">
        <f t="shared" si="20"/>
        <v>0</v>
      </c>
      <c r="K234" s="95">
        <f t="shared" si="20"/>
        <v>0</v>
      </c>
      <c r="L234" s="95">
        <f t="shared" si="20"/>
        <v>0</v>
      </c>
      <c r="M234" s="95">
        <f>SUM(M203:M233)</f>
        <v>0</v>
      </c>
      <c r="N234" s="95">
        <f t="shared" si="20"/>
        <v>0</v>
      </c>
      <c r="O234" s="95">
        <f t="shared" si="20"/>
        <v>0</v>
      </c>
      <c r="P234" s="95">
        <f t="shared" si="20"/>
        <v>0</v>
      </c>
      <c r="Q234" s="95">
        <f t="shared" si="20"/>
        <v>0</v>
      </c>
      <c r="R234" s="95">
        <f t="shared" si="20"/>
        <v>0</v>
      </c>
      <c r="S234" s="95">
        <f t="shared" si="20"/>
        <v>0</v>
      </c>
      <c r="T234" s="95">
        <f t="shared" si="20"/>
        <v>0</v>
      </c>
      <c r="U234" s="95">
        <f t="shared" si="20"/>
        <v>0</v>
      </c>
      <c r="V234" s="95">
        <f t="shared" si="20"/>
        <v>0</v>
      </c>
      <c r="W234" s="95">
        <f t="shared" si="20"/>
        <v>0</v>
      </c>
      <c r="X234" s="95">
        <f t="shared" si="20"/>
        <v>0</v>
      </c>
      <c r="Y234" s="95">
        <f>SUM(Y203:Y233)</f>
        <v>0</v>
      </c>
      <c r="Z234" s="106">
        <f>SUM(Z203:Z233)</f>
        <v>0</v>
      </c>
      <c r="AA234" s="106">
        <f>SUM(AA203:AA233)</f>
        <v>0</v>
      </c>
      <c r="AB234" s="93">
        <f>SUM(AB203:AB233)</f>
        <v>0</v>
      </c>
    </row>
    <row r="235" spans="2:28" s="83" customFormat="1" thickTop="1" thickBot="1">
      <c r="B235" s="98" t="s">
        <v>68</v>
      </c>
      <c r="C235" s="573" t="s">
        <v>67</v>
      </c>
      <c r="D235" s="573"/>
      <c r="E235" s="573"/>
      <c r="F235" s="573"/>
      <c r="G235" s="573"/>
      <c r="H235" s="99">
        <f>H234</f>
        <v>0</v>
      </c>
      <c r="I235" s="569">
        <f>+I234+J234</f>
        <v>0</v>
      </c>
      <c r="J235" s="570"/>
      <c r="K235" s="99">
        <f t="shared" ref="K235:P235" si="21">K234</f>
        <v>0</v>
      </c>
      <c r="L235" s="99">
        <f t="shared" si="21"/>
        <v>0</v>
      </c>
      <c r="M235" s="99">
        <f t="shared" si="21"/>
        <v>0</v>
      </c>
      <c r="N235" s="99">
        <f t="shared" si="21"/>
        <v>0</v>
      </c>
      <c r="O235" s="99">
        <f t="shared" si="21"/>
        <v>0</v>
      </c>
      <c r="P235" s="99">
        <f t="shared" si="21"/>
        <v>0</v>
      </c>
      <c r="Q235" s="572">
        <f>+Q234+R234+S234+T234+V234</f>
        <v>0</v>
      </c>
      <c r="R235" s="572"/>
      <c r="S235" s="572"/>
      <c r="T235" s="572"/>
      <c r="U235" s="572"/>
      <c r="V235" s="572"/>
      <c r="W235" s="572">
        <f>+W234+X234+Y234</f>
        <v>0</v>
      </c>
      <c r="X235" s="572"/>
      <c r="Y235" s="572"/>
      <c r="Z235" s="99">
        <f>Z234</f>
        <v>0</v>
      </c>
      <c r="AA235" s="99">
        <f>AA234</f>
        <v>0</v>
      </c>
      <c r="AB235" s="99">
        <f>AB234</f>
        <v>0</v>
      </c>
    </row>
    <row r="236" spans="2:28" ht="16.5" thickTop="1"/>
    <row r="237" spans="2:28">
      <c r="H237" s="259">
        <f>+H52+H124+H164+H201+H234</f>
        <v>0</v>
      </c>
      <c r="I237" s="259">
        <f t="shared" ref="I237:Y237" si="22">+I52+I124+I164+I201+I234</f>
        <v>0</v>
      </c>
      <c r="J237" s="259">
        <f>+J52+J124+J164+J201+J234</f>
        <v>0</v>
      </c>
      <c r="K237" s="259">
        <f t="shared" si="22"/>
        <v>0</v>
      </c>
      <c r="L237" s="259">
        <f t="shared" si="22"/>
        <v>0</v>
      </c>
      <c r="M237" s="259">
        <f>+M52+M124+M164+M201+M234</f>
        <v>0</v>
      </c>
      <c r="N237" s="259">
        <f t="shared" si="22"/>
        <v>0</v>
      </c>
      <c r="O237" s="259">
        <f t="shared" si="22"/>
        <v>0</v>
      </c>
      <c r="P237" s="259">
        <f t="shared" si="22"/>
        <v>0</v>
      </c>
      <c r="Q237" s="259">
        <f t="shared" si="22"/>
        <v>0</v>
      </c>
      <c r="R237" s="259">
        <f t="shared" si="22"/>
        <v>0</v>
      </c>
      <c r="S237" s="259">
        <f t="shared" si="22"/>
        <v>0</v>
      </c>
      <c r="T237" s="259">
        <f t="shared" si="22"/>
        <v>0</v>
      </c>
      <c r="U237" s="259">
        <f t="shared" si="22"/>
        <v>0</v>
      </c>
      <c r="V237" s="259">
        <f t="shared" si="22"/>
        <v>0</v>
      </c>
      <c r="W237" s="259">
        <f t="shared" si="22"/>
        <v>0</v>
      </c>
      <c r="X237" s="259">
        <f t="shared" si="22"/>
        <v>0</v>
      </c>
      <c r="Y237" s="259">
        <f t="shared" si="22"/>
        <v>0</v>
      </c>
      <c r="Z237" s="259">
        <f>+Z52+Z124+Z164+Z201+Z234</f>
        <v>0</v>
      </c>
      <c r="AA237" s="260"/>
      <c r="AB237" s="260"/>
    </row>
  </sheetData>
  <autoFilter ref="B4:AA235" xr:uid="{00000000-0009-0000-0000-000002000000}"/>
  <mergeCells count="46">
    <mergeCell ref="AB70:AB78"/>
    <mergeCell ref="AB79:AB83"/>
    <mergeCell ref="W125:Y125"/>
    <mergeCell ref="AB150:AB162"/>
    <mergeCell ref="AB91:AB92"/>
    <mergeCell ref="AB126:AB129"/>
    <mergeCell ref="AB170:AB171"/>
    <mergeCell ref="AB86:AB87"/>
    <mergeCell ref="C125:G125"/>
    <mergeCell ref="Q125:V125"/>
    <mergeCell ref="C124:G124"/>
    <mergeCell ref="AB93:AB96"/>
    <mergeCell ref="C202:G202"/>
    <mergeCell ref="C201:G201"/>
    <mergeCell ref="C165:G165"/>
    <mergeCell ref="I125:J125"/>
    <mergeCell ref="AB223:AB231"/>
    <mergeCell ref="I165:J165"/>
    <mergeCell ref="I202:J202"/>
    <mergeCell ref="Q202:V202"/>
    <mergeCell ref="W202:Y202"/>
    <mergeCell ref="W165:Y165"/>
    <mergeCell ref="Q165:V165"/>
    <mergeCell ref="AB182:AB185"/>
    <mergeCell ref="AB166:AB167"/>
    <mergeCell ref="AB203:AB205"/>
    <mergeCell ref="AB206:AB213"/>
    <mergeCell ref="C164:G164"/>
    <mergeCell ref="C235:G235"/>
    <mergeCell ref="Q235:V235"/>
    <mergeCell ref="W235:Y235"/>
    <mergeCell ref="I235:J235"/>
    <mergeCell ref="C234:G234"/>
    <mergeCell ref="AB54:AB57"/>
    <mergeCell ref="I53:J53"/>
    <mergeCell ref="C52:G52"/>
    <mergeCell ref="AB23:AB37"/>
    <mergeCell ref="AB38:AB47"/>
    <mergeCell ref="W53:Y53"/>
    <mergeCell ref="Q53:V53"/>
    <mergeCell ref="C53:G53"/>
    <mergeCell ref="AB17:AB19"/>
    <mergeCell ref="AB14:AB15"/>
    <mergeCell ref="AB10:AB11"/>
    <mergeCell ref="AB8:AB9"/>
    <mergeCell ref="B2:G2"/>
  </mergeCells>
  <pageMargins left="0" right="0" top="0" bottom="0" header="0" footer="0"/>
  <pageSetup paperSize="9" scale="70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0" tint="-0.34998626667073579"/>
  </sheetPr>
  <dimension ref="B2:AN409"/>
  <sheetViews>
    <sheetView zoomScale="85" zoomScaleNormal="85" workbookViewId="0">
      <pane xSplit="7" ySplit="4" topLeftCell="H5" activePane="bottomRight" state="frozen"/>
      <selection pane="topRight" activeCell="F1" sqref="F1"/>
      <selection pane="bottomLeft" activeCell="A5" sqref="A5"/>
      <selection pane="bottomRight" activeCell="H78" sqref="H78"/>
    </sheetView>
  </sheetViews>
  <sheetFormatPr defaultColWidth="9.1796875" defaultRowHeight="16"/>
  <cols>
    <col min="1" max="1" width="2.1796875" style="71" customWidth="1"/>
    <col min="2" max="2" width="11.54296875" style="71" bestFit="1" customWidth="1"/>
    <col min="3" max="4" width="11.54296875" style="71" customWidth="1"/>
    <col min="5" max="5" width="29.453125" style="71" customWidth="1"/>
    <col min="6" max="6" width="19.453125" style="71" customWidth="1"/>
    <col min="7" max="7" width="10.7265625" style="78" bestFit="1" customWidth="1"/>
    <col min="8" max="8" width="13.453125" style="78" bestFit="1" customWidth="1"/>
    <col min="9" max="21" width="12.453125" style="71" customWidth="1"/>
    <col min="22" max="22" width="10.81640625" style="71" customWidth="1"/>
    <col min="23" max="35" width="12.453125" style="71" customWidth="1"/>
    <col min="36" max="36" width="9.7265625" style="71" customWidth="1"/>
    <col min="37" max="37" width="12" style="71" customWidth="1"/>
    <col min="38" max="38" width="1.26953125" style="71" customWidth="1"/>
    <col min="39" max="16384" width="9.1796875" style="71"/>
  </cols>
  <sheetData>
    <row r="2" spans="2:37" ht="25.5" customHeight="1">
      <c r="B2" s="575" t="s">
        <v>84</v>
      </c>
      <c r="C2" s="575"/>
      <c r="D2" s="575"/>
      <c r="E2" s="575"/>
      <c r="F2" s="575"/>
      <c r="G2" s="575"/>
      <c r="H2" s="575"/>
      <c r="I2" s="575"/>
      <c r="J2" s="575"/>
      <c r="K2" s="575"/>
      <c r="L2" s="575"/>
      <c r="M2" s="575"/>
      <c r="N2" s="575"/>
      <c r="O2" s="575"/>
      <c r="P2" s="575"/>
      <c r="Q2" s="575"/>
      <c r="R2" s="575"/>
      <c r="S2" s="575"/>
      <c r="T2" s="575"/>
      <c r="U2" s="575"/>
      <c r="V2" s="575"/>
      <c r="W2" s="575"/>
      <c r="X2" s="575"/>
      <c r="Y2" s="575"/>
      <c r="Z2" s="575"/>
      <c r="AA2" s="575"/>
      <c r="AB2" s="575"/>
      <c r="AC2" s="575"/>
      <c r="AD2" s="575"/>
      <c r="AE2" s="575"/>
      <c r="AF2" s="575"/>
      <c r="AG2" s="575"/>
      <c r="AH2" s="575"/>
      <c r="AI2" s="575"/>
      <c r="AJ2" s="575"/>
      <c r="AK2" s="575"/>
    </row>
    <row r="3" spans="2:37" ht="12" customHeight="1" thickBot="1">
      <c r="B3" s="72"/>
      <c r="C3" s="72"/>
      <c r="D3" s="2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3"/>
    </row>
    <row r="4" spans="2:37" ht="30">
      <c r="B4" s="84" t="s">
        <v>50</v>
      </c>
      <c r="C4" s="84" t="s">
        <v>51</v>
      </c>
      <c r="D4" s="271" t="s">
        <v>48</v>
      </c>
      <c r="E4" s="84" t="s">
        <v>52</v>
      </c>
      <c r="F4" s="84" t="s">
        <v>53</v>
      </c>
      <c r="G4" s="84" t="s">
        <v>54</v>
      </c>
      <c r="H4" s="84" t="s">
        <v>12</v>
      </c>
      <c r="I4" s="84" t="s">
        <v>86</v>
      </c>
      <c r="J4" s="84" t="s">
        <v>87</v>
      </c>
      <c r="K4" s="84" t="s">
        <v>22</v>
      </c>
      <c r="L4" s="84" t="s">
        <v>13</v>
      </c>
      <c r="M4" s="84" t="s">
        <v>15</v>
      </c>
      <c r="N4" s="84" t="s">
        <v>14</v>
      </c>
      <c r="O4" s="84" t="s">
        <v>47</v>
      </c>
      <c r="P4" s="84" t="s">
        <v>55</v>
      </c>
      <c r="Q4" s="84" t="s">
        <v>56</v>
      </c>
      <c r="R4" s="84" t="s">
        <v>57</v>
      </c>
      <c r="S4" s="84" t="s">
        <v>58</v>
      </c>
      <c r="T4" s="84" t="s">
        <v>59</v>
      </c>
      <c r="U4" s="84" t="s">
        <v>77</v>
      </c>
      <c r="V4" s="84" t="s">
        <v>78</v>
      </c>
      <c r="W4" s="84" t="s">
        <v>60</v>
      </c>
      <c r="X4" s="84" t="s">
        <v>61</v>
      </c>
      <c r="Y4" s="84" t="s">
        <v>62</v>
      </c>
      <c r="Z4" s="85" t="s">
        <v>39</v>
      </c>
      <c r="AA4" s="84" t="s">
        <v>41</v>
      </c>
      <c r="AB4" s="74" t="s">
        <v>31</v>
      </c>
      <c r="AC4" s="85" t="s">
        <v>79</v>
      </c>
      <c r="AD4" s="84" t="s">
        <v>80</v>
      </c>
      <c r="AE4" s="84" t="s">
        <v>81</v>
      </c>
      <c r="AF4" s="84" t="s">
        <v>38</v>
      </c>
      <c r="AG4" s="84" t="s">
        <v>111</v>
      </c>
      <c r="AH4" s="84" t="s">
        <v>112</v>
      </c>
      <c r="AI4" s="86" t="s">
        <v>82</v>
      </c>
      <c r="AJ4" s="74" t="s">
        <v>16</v>
      </c>
      <c r="AK4" s="87" t="s">
        <v>21</v>
      </c>
    </row>
    <row r="5" spans="2:37" s="83" customFormat="1" ht="15" hidden="1">
      <c r="B5" s="79" t="s">
        <v>64</v>
      </c>
      <c r="C5" s="79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6">
        <f t="shared" ref="AJ5:AJ20" si="0">SUM(H5:AI5)</f>
        <v>0</v>
      </c>
      <c r="AK5" s="582">
        <f>SUM(AJ5:AJ9)</f>
        <v>0</v>
      </c>
    </row>
    <row r="6" spans="2:37" s="83" customFormat="1" ht="15" hidden="1">
      <c r="B6" s="79" t="s">
        <v>64</v>
      </c>
      <c r="C6" s="79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6">
        <f t="shared" si="0"/>
        <v>0</v>
      </c>
      <c r="AK6" s="562"/>
    </row>
    <row r="7" spans="2:37" s="83" customFormat="1" ht="15" hidden="1">
      <c r="B7" s="79" t="s">
        <v>64</v>
      </c>
      <c r="C7" s="79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6">
        <f t="shared" si="0"/>
        <v>0</v>
      </c>
      <c r="AK7" s="562"/>
    </row>
    <row r="8" spans="2:37" s="83" customFormat="1" ht="15" hidden="1">
      <c r="B8" s="79" t="s">
        <v>64</v>
      </c>
      <c r="C8" s="79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6">
        <f t="shared" si="0"/>
        <v>0</v>
      </c>
      <c r="AK8" s="562"/>
    </row>
    <row r="9" spans="2:37" s="83" customFormat="1" ht="15.5" hidden="1" thickBot="1">
      <c r="B9" s="79" t="s">
        <v>64</v>
      </c>
      <c r="C9" s="79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6">
        <f t="shared" si="0"/>
        <v>0</v>
      </c>
      <c r="AK9" s="562"/>
    </row>
    <row r="10" spans="2:37" s="83" customFormat="1" ht="15" hidden="1">
      <c r="B10" s="79" t="s">
        <v>64</v>
      </c>
      <c r="C10" s="79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6">
        <f t="shared" si="0"/>
        <v>0</v>
      </c>
      <c r="AK10" s="561">
        <f>SUM(AJ10:AJ16)</f>
        <v>0</v>
      </c>
    </row>
    <row r="11" spans="2:37" s="83" customFormat="1" ht="15" hidden="1">
      <c r="B11" s="79" t="s">
        <v>64</v>
      </c>
      <c r="C11" s="79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6">
        <f t="shared" si="0"/>
        <v>0</v>
      </c>
      <c r="AK11" s="562"/>
    </row>
    <row r="12" spans="2:37" s="83" customFormat="1" ht="15" hidden="1">
      <c r="B12" s="79" t="s">
        <v>64</v>
      </c>
      <c r="C12" s="79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6">
        <f t="shared" si="0"/>
        <v>0</v>
      </c>
      <c r="AK12" s="562"/>
    </row>
    <row r="13" spans="2:37" s="83" customFormat="1" ht="15" hidden="1">
      <c r="B13" s="79" t="s">
        <v>64</v>
      </c>
      <c r="C13" s="79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6">
        <f t="shared" si="0"/>
        <v>0</v>
      </c>
      <c r="AK13" s="562"/>
    </row>
    <row r="14" spans="2:37" s="83" customFormat="1" ht="15" hidden="1">
      <c r="B14" s="79" t="s">
        <v>64</v>
      </c>
      <c r="C14" s="79"/>
      <c r="D14" s="80"/>
      <c r="E14" s="81"/>
      <c r="F14" s="81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6">
        <f t="shared" si="0"/>
        <v>0</v>
      </c>
      <c r="AK14" s="562"/>
    </row>
    <row r="15" spans="2:37" s="83" customFormat="1" ht="15" hidden="1">
      <c r="B15" s="79" t="s">
        <v>64</v>
      </c>
      <c r="C15" s="79"/>
      <c r="D15" s="80"/>
      <c r="E15" s="81"/>
      <c r="F15" s="81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6">
        <f t="shared" si="0"/>
        <v>0</v>
      </c>
      <c r="AK15" s="562"/>
    </row>
    <row r="16" spans="2:37" s="83" customFormat="1" ht="15.5" hidden="1" thickBot="1">
      <c r="B16" s="79" t="s">
        <v>64</v>
      </c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6">
        <f t="shared" si="0"/>
        <v>0</v>
      </c>
      <c r="AK16" s="562"/>
    </row>
    <row r="17" spans="2:37" s="83" customFormat="1" ht="15" hidden="1">
      <c r="B17" s="79" t="s">
        <v>64</v>
      </c>
      <c r="C17" s="79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6">
        <f t="shared" si="0"/>
        <v>0</v>
      </c>
      <c r="AK17" s="561">
        <f>SUM(AJ17:AJ21)</f>
        <v>0</v>
      </c>
    </row>
    <row r="18" spans="2:37" s="83" customFormat="1" ht="15" hidden="1">
      <c r="B18" s="79" t="s">
        <v>64</v>
      </c>
      <c r="C18" s="79"/>
      <c r="D18" s="80"/>
      <c r="E18" s="81"/>
      <c r="F18" s="81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6">
        <f t="shared" si="0"/>
        <v>0</v>
      </c>
      <c r="AK18" s="562"/>
    </row>
    <row r="19" spans="2:37" s="83" customFormat="1" ht="15" hidden="1">
      <c r="B19" s="79" t="s">
        <v>64</v>
      </c>
      <c r="C19" s="79"/>
      <c r="D19" s="80"/>
      <c r="E19" s="81"/>
      <c r="F19" s="81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6">
        <f t="shared" si="0"/>
        <v>0</v>
      </c>
      <c r="AK19" s="562"/>
    </row>
    <row r="20" spans="2:37" s="83" customFormat="1" ht="15" hidden="1">
      <c r="B20" s="79" t="s">
        <v>64</v>
      </c>
      <c r="C20" s="79"/>
      <c r="D20" s="80"/>
      <c r="E20" s="81"/>
      <c r="F20" s="81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6">
        <f t="shared" si="0"/>
        <v>0</v>
      </c>
      <c r="AK20" s="562"/>
    </row>
    <row r="21" spans="2:37" s="83" customFormat="1" ht="15.5" hidden="1" thickBot="1">
      <c r="B21" s="79" t="s">
        <v>64</v>
      </c>
      <c r="C21" s="79"/>
      <c r="D21" s="80"/>
      <c r="E21" s="81"/>
      <c r="F21" s="81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6">
        <f t="shared" ref="AJ21:AJ41" si="1">SUM(H21:AI21)</f>
        <v>0</v>
      </c>
      <c r="AK21" s="562"/>
    </row>
    <row r="22" spans="2:37" s="83" customFormat="1" ht="15" hidden="1">
      <c r="B22" s="79" t="s">
        <v>64</v>
      </c>
      <c r="C22" s="79"/>
      <c r="D22" s="80"/>
      <c r="E22" s="81"/>
      <c r="F22" s="81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6">
        <f t="shared" si="1"/>
        <v>0</v>
      </c>
      <c r="AK22" s="561">
        <f>SUM(AJ22:AJ27)</f>
        <v>0</v>
      </c>
    </row>
    <row r="23" spans="2:37" s="83" customFormat="1" ht="15" hidden="1">
      <c r="B23" s="79" t="s">
        <v>64</v>
      </c>
      <c r="C23" s="79"/>
      <c r="D23" s="80"/>
      <c r="E23" s="81"/>
      <c r="F23" s="81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6">
        <f t="shared" si="1"/>
        <v>0</v>
      </c>
      <c r="AK23" s="562"/>
    </row>
    <row r="24" spans="2:37" s="83" customFormat="1" ht="15" hidden="1">
      <c r="B24" s="79" t="s">
        <v>64</v>
      </c>
      <c r="C24" s="79"/>
      <c r="D24" s="80"/>
      <c r="E24" s="81"/>
      <c r="F24" s="81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6">
        <f t="shared" si="1"/>
        <v>0</v>
      </c>
      <c r="AK24" s="562"/>
    </row>
    <row r="25" spans="2:37" s="83" customFormat="1" ht="15" hidden="1">
      <c r="B25" s="79" t="s">
        <v>64</v>
      </c>
      <c r="C25" s="79"/>
      <c r="D25" s="80"/>
      <c r="E25" s="81"/>
      <c r="F25" s="81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6">
        <f t="shared" si="1"/>
        <v>0</v>
      </c>
      <c r="AK25" s="562"/>
    </row>
    <row r="26" spans="2:37" s="83" customFormat="1" ht="15" hidden="1">
      <c r="B26" s="79" t="s">
        <v>64</v>
      </c>
      <c r="C26" s="79"/>
      <c r="D26" s="80"/>
      <c r="E26" s="81"/>
      <c r="F26" s="81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6">
        <f t="shared" si="1"/>
        <v>0</v>
      </c>
      <c r="AK26" s="562"/>
    </row>
    <row r="27" spans="2:37" s="83" customFormat="1" ht="15.5" hidden="1" thickBot="1">
      <c r="B27" s="79" t="s">
        <v>64</v>
      </c>
      <c r="C27" s="79"/>
      <c r="D27" s="80"/>
      <c r="E27" s="81"/>
      <c r="F27" s="81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6">
        <f t="shared" si="1"/>
        <v>0</v>
      </c>
      <c r="AK27" s="562"/>
    </row>
    <row r="28" spans="2:37" s="83" customFormat="1" ht="15" hidden="1">
      <c r="B28" s="79" t="s">
        <v>64</v>
      </c>
      <c r="C28" s="82"/>
      <c r="D28" s="81"/>
      <c r="E28" s="81"/>
      <c r="F28" s="81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6">
        <f t="shared" si="1"/>
        <v>0</v>
      </c>
      <c r="AK28" s="561">
        <f>SUM(AJ28:AJ30)</f>
        <v>0</v>
      </c>
    </row>
    <row r="29" spans="2:37" s="83" customFormat="1" ht="15" hidden="1">
      <c r="B29" s="79" t="s">
        <v>64</v>
      </c>
      <c r="C29" s="82"/>
      <c r="D29" s="81"/>
      <c r="E29" s="81"/>
      <c r="F29" s="81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6">
        <f t="shared" si="1"/>
        <v>0</v>
      </c>
      <c r="AK29" s="562"/>
    </row>
    <row r="30" spans="2:37" s="83" customFormat="1" ht="15.5" hidden="1" thickBot="1">
      <c r="B30" s="79" t="s">
        <v>64</v>
      </c>
      <c r="C30" s="82"/>
      <c r="D30" s="81"/>
      <c r="E30" s="81"/>
      <c r="F30" s="81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6">
        <f t="shared" si="1"/>
        <v>0</v>
      </c>
      <c r="AK30" s="563"/>
    </row>
    <row r="31" spans="2:37" s="83" customFormat="1" ht="15" hidden="1">
      <c r="B31" s="79" t="s">
        <v>64</v>
      </c>
      <c r="C31" s="82"/>
      <c r="D31" s="81"/>
      <c r="E31" s="81"/>
      <c r="F31" s="81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6">
        <f t="shared" si="1"/>
        <v>0</v>
      </c>
      <c r="AK31" s="561">
        <f>SUM(AJ31:AJ34)</f>
        <v>0</v>
      </c>
    </row>
    <row r="32" spans="2:37" s="83" customFormat="1" ht="15" hidden="1">
      <c r="B32" s="79" t="s">
        <v>64</v>
      </c>
      <c r="C32" s="82"/>
      <c r="D32" s="81"/>
      <c r="E32" s="81"/>
      <c r="F32" s="81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6">
        <f t="shared" si="1"/>
        <v>0</v>
      </c>
      <c r="AK32" s="562"/>
    </row>
    <row r="33" spans="2:37" s="83" customFormat="1" ht="15" hidden="1">
      <c r="B33" s="79" t="s">
        <v>64</v>
      </c>
      <c r="C33" s="82"/>
      <c r="D33" s="81"/>
      <c r="E33" s="81"/>
      <c r="F33" s="81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6">
        <f t="shared" si="1"/>
        <v>0</v>
      </c>
      <c r="AK33" s="562"/>
    </row>
    <row r="34" spans="2:37" s="83" customFormat="1" ht="15.5" hidden="1" thickBot="1">
      <c r="B34" s="79" t="s">
        <v>64</v>
      </c>
      <c r="C34" s="82"/>
      <c r="D34" s="81"/>
      <c r="E34" s="81"/>
      <c r="F34" s="81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6">
        <f t="shared" si="1"/>
        <v>0</v>
      </c>
      <c r="AK34" s="562"/>
    </row>
    <row r="35" spans="2:37" s="83" customFormat="1" ht="15" hidden="1">
      <c r="B35" s="79" t="s">
        <v>64</v>
      </c>
      <c r="C35" s="82"/>
      <c r="D35" s="81"/>
      <c r="E35" s="81"/>
      <c r="F35" s="81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6">
        <f t="shared" si="1"/>
        <v>0</v>
      </c>
      <c r="AK35" s="199"/>
    </row>
    <row r="36" spans="2:37" s="83" customFormat="1" ht="15" hidden="1">
      <c r="B36" s="79" t="s">
        <v>64</v>
      </c>
      <c r="C36" s="82"/>
      <c r="D36" s="81"/>
      <c r="E36" s="81"/>
      <c r="F36" s="81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6">
        <f t="shared" si="1"/>
        <v>0</v>
      </c>
      <c r="AK36" s="191"/>
    </row>
    <row r="37" spans="2:37" s="83" customFormat="1" ht="15" hidden="1">
      <c r="B37" s="79" t="s">
        <v>64</v>
      </c>
      <c r="C37" s="82"/>
      <c r="D37" s="81"/>
      <c r="E37" s="81"/>
      <c r="F37" s="81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6">
        <f t="shared" si="1"/>
        <v>0</v>
      </c>
      <c r="AK37" s="191"/>
    </row>
    <row r="38" spans="2:37" s="83" customFormat="1" ht="15" hidden="1">
      <c r="B38" s="79" t="s">
        <v>64</v>
      </c>
      <c r="C38" s="82"/>
      <c r="D38" s="81"/>
      <c r="E38" s="81"/>
      <c r="F38" s="81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6">
        <f t="shared" si="1"/>
        <v>0</v>
      </c>
      <c r="AK38" s="191"/>
    </row>
    <row r="39" spans="2:37" s="83" customFormat="1" ht="15" hidden="1">
      <c r="B39" s="79" t="s">
        <v>64</v>
      </c>
      <c r="C39" s="82"/>
      <c r="D39" s="81"/>
      <c r="E39" s="81"/>
      <c r="F39" s="81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6">
        <f t="shared" si="1"/>
        <v>0</v>
      </c>
      <c r="AK39" s="191"/>
    </row>
    <row r="40" spans="2:37" s="83" customFormat="1" ht="15" hidden="1">
      <c r="B40" s="79" t="s">
        <v>64</v>
      </c>
      <c r="C40" s="82"/>
      <c r="D40" s="81"/>
      <c r="E40" s="81"/>
      <c r="F40" s="81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6">
        <f t="shared" si="1"/>
        <v>0</v>
      </c>
      <c r="AK40" s="191"/>
    </row>
    <row r="41" spans="2:37" s="83" customFormat="1" ht="15" hidden="1">
      <c r="B41" s="79" t="s">
        <v>64</v>
      </c>
      <c r="C41" s="82"/>
      <c r="D41" s="81"/>
      <c r="E41" s="81"/>
      <c r="F41" s="81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6">
        <f t="shared" si="1"/>
        <v>0</v>
      </c>
      <c r="AK41" s="191"/>
    </row>
    <row r="42" spans="2:37" s="83" customFormat="1" ht="15" hidden="1">
      <c r="B42" s="79" t="s">
        <v>64</v>
      </c>
      <c r="C42" s="82"/>
      <c r="D42" s="81"/>
      <c r="E42" s="81"/>
      <c r="F42" s="81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6">
        <f t="shared" ref="AJ42:AJ62" si="2">SUM(H42:AI42)</f>
        <v>0</v>
      </c>
      <c r="AK42" s="191"/>
    </row>
    <row r="43" spans="2:37" s="83" customFormat="1" ht="15" hidden="1">
      <c r="B43" s="79" t="s">
        <v>64</v>
      </c>
      <c r="C43" s="82"/>
      <c r="D43" s="81"/>
      <c r="E43" s="81"/>
      <c r="F43" s="81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6">
        <f t="shared" si="2"/>
        <v>0</v>
      </c>
      <c r="AK43" s="191"/>
    </row>
    <row r="44" spans="2:37" s="83" customFormat="1" ht="15" hidden="1">
      <c r="B44" s="79" t="s">
        <v>64</v>
      </c>
      <c r="C44" s="82"/>
      <c r="D44" s="81"/>
      <c r="E44" s="81"/>
      <c r="F44" s="81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6">
        <f t="shared" si="2"/>
        <v>0</v>
      </c>
      <c r="AK44" s="191"/>
    </row>
    <row r="45" spans="2:37" s="83" customFormat="1" ht="15" hidden="1">
      <c r="B45" s="79" t="s">
        <v>64</v>
      </c>
      <c r="C45" s="82"/>
      <c r="D45" s="81"/>
      <c r="E45" s="81"/>
      <c r="F45" s="81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6">
        <f t="shared" si="2"/>
        <v>0</v>
      </c>
      <c r="AK45" s="191"/>
    </row>
    <row r="46" spans="2:37" s="83" customFormat="1" ht="15" hidden="1">
      <c r="B46" s="79" t="s">
        <v>64</v>
      </c>
      <c r="C46" s="82"/>
      <c r="D46" s="81"/>
      <c r="E46" s="81"/>
      <c r="F46" s="81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6">
        <f t="shared" si="2"/>
        <v>0</v>
      </c>
      <c r="AK46" s="191"/>
    </row>
    <row r="47" spans="2:37" s="83" customFormat="1" ht="15" hidden="1">
      <c r="B47" s="79" t="s">
        <v>64</v>
      </c>
      <c r="C47" s="82"/>
      <c r="D47" s="81"/>
      <c r="E47" s="81"/>
      <c r="F47" s="81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6">
        <f t="shared" si="2"/>
        <v>0</v>
      </c>
      <c r="AK47" s="191"/>
    </row>
    <row r="48" spans="2:37" s="83" customFormat="1" ht="15" hidden="1">
      <c r="B48" s="79" t="s">
        <v>64</v>
      </c>
      <c r="C48" s="82"/>
      <c r="D48" s="81"/>
      <c r="E48" s="81"/>
      <c r="F48" s="81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6">
        <f t="shared" si="2"/>
        <v>0</v>
      </c>
      <c r="AK48" s="191"/>
    </row>
    <row r="49" spans="2:37" s="83" customFormat="1" ht="15" hidden="1">
      <c r="B49" s="79" t="s">
        <v>64</v>
      </c>
      <c r="C49" s="82"/>
      <c r="D49" s="81"/>
      <c r="E49" s="81"/>
      <c r="F49" s="81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6">
        <f t="shared" si="2"/>
        <v>0</v>
      </c>
      <c r="AK49" s="191"/>
    </row>
    <row r="50" spans="2:37" s="83" customFormat="1" ht="15" hidden="1">
      <c r="B50" s="79" t="s">
        <v>64</v>
      </c>
      <c r="C50" s="82"/>
      <c r="D50" s="81"/>
      <c r="E50" s="81"/>
      <c r="F50" s="81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6">
        <f t="shared" si="2"/>
        <v>0</v>
      </c>
      <c r="AK50" s="191"/>
    </row>
    <row r="51" spans="2:37" s="83" customFormat="1" ht="15" hidden="1">
      <c r="B51" s="79" t="s">
        <v>64</v>
      </c>
      <c r="C51" s="82"/>
      <c r="D51" s="81"/>
      <c r="E51" s="81"/>
      <c r="F51" s="81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6">
        <f t="shared" si="2"/>
        <v>0</v>
      </c>
      <c r="AK51" s="191"/>
    </row>
    <row r="52" spans="2:37" s="83" customFormat="1" ht="15" hidden="1">
      <c r="B52" s="79" t="s">
        <v>64</v>
      </c>
      <c r="C52" s="82"/>
      <c r="D52" s="81"/>
      <c r="E52" s="81"/>
      <c r="F52" s="81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6">
        <f t="shared" si="2"/>
        <v>0</v>
      </c>
      <c r="AK52" s="191"/>
    </row>
    <row r="53" spans="2:37" s="83" customFormat="1" ht="15" hidden="1">
      <c r="B53" s="79" t="s">
        <v>64</v>
      </c>
      <c r="C53" s="82"/>
      <c r="D53" s="81"/>
      <c r="E53" s="81"/>
      <c r="F53" s="81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6">
        <f t="shared" si="2"/>
        <v>0</v>
      </c>
      <c r="AK53" s="191"/>
    </row>
    <row r="54" spans="2:37" s="83" customFormat="1" ht="15" hidden="1">
      <c r="B54" s="79" t="s">
        <v>64</v>
      </c>
      <c r="C54" s="82"/>
      <c r="D54" s="81"/>
      <c r="E54" s="81"/>
      <c r="F54" s="81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6">
        <f t="shared" si="2"/>
        <v>0</v>
      </c>
      <c r="AK54" s="191"/>
    </row>
    <row r="55" spans="2:37" s="83" customFormat="1" ht="15.5" hidden="1" thickBot="1">
      <c r="B55" s="79" t="s">
        <v>64</v>
      </c>
      <c r="C55" s="82"/>
      <c r="D55" s="81"/>
      <c r="E55" s="81"/>
      <c r="F55" s="81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6">
        <f t="shared" si="2"/>
        <v>0</v>
      </c>
      <c r="AK55" s="192"/>
    </row>
    <row r="56" spans="2:37" s="83" customFormat="1" ht="15.5" hidden="1" thickTop="1">
      <c r="B56" s="79" t="s">
        <v>64</v>
      </c>
      <c r="C56" s="82"/>
      <c r="D56" s="81"/>
      <c r="E56" s="81"/>
      <c r="F56" s="81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6">
        <f t="shared" si="2"/>
        <v>0</v>
      </c>
      <c r="AK56" s="579">
        <f>SUM(AJ56:AJ61)</f>
        <v>0</v>
      </c>
    </row>
    <row r="57" spans="2:37" s="83" customFormat="1" ht="15" hidden="1">
      <c r="B57" s="79" t="s">
        <v>64</v>
      </c>
      <c r="C57" s="82"/>
      <c r="D57" s="81"/>
      <c r="E57" s="81"/>
      <c r="F57" s="81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6">
        <f t="shared" si="2"/>
        <v>0</v>
      </c>
      <c r="AK57" s="562"/>
    </row>
    <row r="58" spans="2:37" s="83" customFormat="1" ht="15" hidden="1">
      <c r="B58" s="79" t="s">
        <v>64</v>
      </c>
      <c r="C58" s="82"/>
      <c r="D58" s="81"/>
      <c r="E58" s="81"/>
      <c r="F58" s="81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6">
        <f t="shared" si="2"/>
        <v>0</v>
      </c>
      <c r="AK58" s="562"/>
    </row>
    <row r="59" spans="2:37" s="83" customFormat="1" ht="15" hidden="1">
      <c r="B59" s="79" t="s">
        <v>64</v>
      </c>
      <c r="C59" s="82"/>
      <c r="D59" s="81"/>
      <c r="E59" s="81"/>
      <c r="F59" s="81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6">
        <f t="shared" si="2"/>
        <v>0</v>
      </c>
      <c r="AK59" s="562"/>
    </row>
    <row r="60" spans="2:37" s="83" customFormat="1" ht="15" hidden="1">
      <c r="B60" s="79" t="s">
        <v>64</v>
      </c>
      <c r="C60" s="82"/>
      <c r="D60" s="81"/>
      <c r="E60" s="81"/>
      <c r="F60" s="81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6">
        <f t="shared" si="2"/>
        <v>0</v>
      </c>
      <c r="AK60" s="562"/>
    </row>
    <row r="61" spans="2:37" s="83" customFormat="1" ht="15.5" hidden="1" thickBot="1">
      <c r="B61" s="79" t="s">
        <v>64</v>
      </c>
      <c r="C61" s="82"/>
      <c r="D61" s="81"/>
      <c r="E61" s="81"/>
      <c r="F61" s="81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6">
        <f t="shared" si="2"/>
        <v>0</v>
      </c>
      <c r="AK61" s="580"/>
    </row>
    <row r="62" spans="2:37" s="83" customFormat="1" ht="15.5" hidden="1" thickTop="1">
      <c r="B62" s="79" t="s">
        <v>64</v>
      </c>
      <c r="C62" s="82"/>
      <c r="D62" s="81"/>
      <c r="E62" s="81"/>
      <c r="F62" s="81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6">
        <f t="shared" si="2"/>
        <v>0</v>
      </c>
      <c r="AK62" s="97"/>
    </row>
    <row r="63" spans="2:37" s="83" customFormat="1" ht="15" hidden="1">
      <c r="B63" s="79" t="s">
        <v>64</v>
      </c>
      <c r="C63" s="82"/>
      <c r="D63" s="81"/>
      <c r="E63" s="81"/>
      <c r="F63" s="81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6">
        <f t="shared" ref="AJ63:AJ69" si="3">SUM(H63:AI63)</f>
        <v>0</v>
      </c>
      <c r="AK63" s="77"/>
    </row>
    <row r="64" spans="2:37" s="83" customFormat="1" ht="15" hidden="1">
      <c r="B64" s="79" t="s">
        <v>64</v>
      </c>
      <c r="C64" s="82"/>
      <c r="D64" s="81"/>
      <c r="E64" s="81"/>
      <c r="F64" s="81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6">
        <f t="shared" si="3"/>
        <v>0</v>
      </c>
      <c r="AK64" s="77"/>
    </row>
    <row r="65" spans="2:37" s="83" customFormat="1" ht="15" hidden="1">
      <c r="B65" s="79" t="s">
        <v>64</v>
      </c>
      <c r="C65" s="82"/>
      <c r="D65" s="81"/>
      <c r="E65" s="81"/>
      <c r="F65" s="81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6">
        <f t="shared" si="3"/>
        <v>0</v>
      </c>
      <c r="AK65" s="77"/>
    </row>
    <row r="66" spans="2:37" s="83" customFormat="1" ht="15" hidden="1">
      <c r="B66" s="79" t="s">
        <v>64</v>
      </c>
      <c r="C66" s="82"/>
      <c r="D66" s="81"/>
      <c r="E66" s="81"/>
      <c r="F66" s="81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6">
        <f t="shared" si="3"/>
        <v>0</v>
      </c>
      <c r="AK66" s="77"/>
    </row>
    <row r="67" spans="2:37" s="83" customFormat="1" ht="15" hidden="1">
      <c r="B67" s="79" t="s">
        <v>64</v>
      </c>
      <c r="C67" s="82"/>
      <c r="D67" s="81"/>
      <c r="E67" s="81"/>
      <c r="F67" s="81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6">
        <f t="shared" si="3"/>
        <v>0</v>
      </c>
      <c r="AK67" s="77"/>
    </row>
    <row r="68" spans="2:37" s="83" customFormat="1" ht="15" hidden="1">
      <c r="B68" s="79" t="s">
        <v>64</v>
      </c>
      <c r="C68" s="82"/>
      <c r="D68" s="81"/>
      <c r="E68" s="81"/>
      <c r="F68" s="81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6">
        <f t="shared" si="3"/>
        <v>0</v>
      </c>
      <c r="AK68" s="77"/>
    </row>
    <row r="69" spans="2:37" s="83" customFormat="1" ht="15" hidden="1">
      <c r="B69" s="79" t="s">
        <v>64</v>
      </c>
      <c r="C69" s="82"/>
      <c r="D69" s="81"/>
      <c r="E69" s="81"/>
      <c r="F69" s="81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6">
        <f t="shared" si="3"/>
        <v>0</v>
      </c>
      <c r="AK69" s="77"/>
    </row>
    <row r="70" spans="2:37" s="83" customFormat="1" ht="15" hidden="1">
      <c r="B70" s="79" t="s">
        <v>64</v>
      </c>
      <c r="C70" s="82"/>
      <c r="D70" s="81"/>
      <c r="E70" s="81"/>
      <c r="F70" s="81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6">
        <f t="shared" ref="AJ70:AJ78" si="4">SUM(H70:AI70)</f>
        <v>0</v>
      </c>
      <c r="AK70" s="77"/>
    </row>
    <row r="71" spans="2:37" s="83" customFormat="1" ht="15" hidden="1">
      <c r="B71" s="79" t="s">
        <v>64</v>
      </c>
      <c r="C71" s="82"/>
      <c r="D71" s="81"/>
      <c r="E71" s="81"/>
      <c r="F71" s="81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6">
        <f t="shared" si="4"/>
        <v>0</v>
      </c>
      <c r="AK71" s="77"/>
    </row>
    <row r="72" spans="2:37" s="83" customFormat="1" ht="15" hidden="1">
      <c r="B72" s="79" t="s">
        <v>64</v>
      </c>
      <c r="C72" s="82"/>
      <c r="D72" s="81"/>
      <c r="E72" s="81"/>
      <c r="F72" s="81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6">
        <f t="shared" si="4"/>
        <v>0</v>
      </c>
      <c r="AK72" s="77"/>
    </row>
    <row r="73" spans="2:37" s="83" customFormat="1" ht="15" hidden="1">
      <c r="B73" s="79" t="s">
        <v>64</v>
      </c>
      <c r="C73" s="82"/>
      <c r="D73" s="81"/>
      <c r="E73" s="81"/>
      <c r="F73" s="81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6">
        <f t="shared" si="4"/>
        <v>0</v>
      </c>
      <c r="AK73" s="77"/>
    </row>
    <row r="74" spans="2:37" s="83" customFormat="1" ht="15" hidden="1">
      <c r="B74" s="79" t="s">
        <v>64</v>
      </c>
      <c r="C74" s="82"/>
      <c r="D74" s="81"/>
      <c r="E74" s="81"/>
      <c r="F74" s="81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6">
        <f t="shared" si="4"/>
        <v>0</v>
      </c>
      <c r="AK74" s="77"/>
    </row>
    <row r="75" spans="2:37" s="83" customFormat="1" ht="15" hidden="1">
      <c r="B75" s="79" t="s">
        <v>64</v>
      </c>
      <c r="C75" s="82"/>
      <c r="D75" s="81"/>
      <c r="E75" s="81"/>
      <c r="F75" s="81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6">
        <f t="shared" si="4"/>
        <v>0</v>
      </c>
      <c r="AK75" s="77"/>
    </row>
    <row r="76" spans="2:37" s="83" customFormat="1" ht="15" hidden="1">
      <c r="B76" s="79" t="s">
        <v>64</v>
      </c>
      <c r="C76" s="82"/>
      <c r="D76" s="81"/>
      <c r="E76" s="81"/>
      <c r="F76" s="81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6">
        <f t="shared" si="4"/>
        <v>0</v>
      </c>
      <c r="AK76" s="77"/>
    </row>
    <row r="77" spans="2:37" s="83" customFormat="1" ht="15" hidden="1">
      <c r="B77" s="79" t="s">
        <v>64</v>
      </c>
      <c r="C77" s="82"/>
      <c r="D77" s="81"/>
      <c r="E77" s="81"/>
      <c r="F77" s="81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6">
        <f t="shared" si="4"/>
        <v>0</v>
      </c>
      <c r="AK77" s="77"/>
    </row>
    <row r="78" spans="2:37" s="83" customFormat="1" ht="15.5" thickBot="1">
      <c r="B78" s="88" t="s">
        <v>64</v>
      </c>
      <c r="C78" s="89"/>
      <c r="D78" s="90"/>
      <c r="E78" s="90"/>
      <c r="F78" s="90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4">
        <f t="shared" si="4"/>
        <v>0</v>
      </c>
      <c r="AK78" s="105"/>
    </row>
    <row r="79" spans="2:37" s="83" customFormat="1" thickTop="1" thickBot="1">
      <c r="B79" s="92" t="s">
        <v>66</v>
      </c>
      <c r="C79" s="578" t="s">
        <v>49</v>
      </c>
      <c r="D79" s="578"/>
      <c r="E79" s="578"/>
      <c r="F79" s="578"/>
      <c r="G79" s="578"/>
      <c r="H79" s="93">
        <f>SUM(H5:H78)</f>
        <v>0</v>
      </c>
      <c r="I79" s="93">
        <f>SUM(I5:I78)</f>
        <v>0</v>
      </c>
      <c r="J79" s="93">
        <f>SUM(J5:J78)</f>
        <v>0</v>
      </c>
      <c r="K79" s="93">
        <f t="shared" ref="K79:Y79" si="5">SUM(K5:K78)</f>
        <v>0</v>
      </c>
      <c r="L79" s="93">
        <f t="shared" si="5"/>
        <v>0</v>
      </c>
      <c r="M79" s="93">
        <f t="shared" si="5"/>
        <v>0</v>
      </c>
      <c r="N79" s="93">
        <f t="shared" si="5"/>
        <v>0</v>
      </c>
      <c r="O79" s="93">
        <f t="shared" si="5"/>
        <v>0</v>
      </c>
      <c r="P79" s="93">
        <f t="shared" si="5"/>
        <v>0</v>
      </c>
      <c r="Q79" s="93">
        <f t="shared" si="5"/>
        <v>0</v>
      </c>
      <c r="R79" s="93">
        <f t="shared" si="5"/>
        <v>0</v>
      </c>
      <c r="S79" s="93">
        <f t="shared" si="5"/>
        <v>0</v>
      </c>
      <c r="T79" s="93">
        <f t="shared" si="5"/>
        <v>0</v>
      </c>
      <c r="U79" s="93">
        <f t="shared" si="5"/>
        <v>0</v>
      </c>
      <c r="V79" s="93">
        <f t="shared" si="5"/>
        <v>0</v>
      </c>
      <c r="W79" s="93">
        <f t="shared" si="5"/>
        <v>0</v>
      </c>
      <c r="X79" s="93">
        <f t="shared" si="5"/>
        <v>0</v>
      </c>
      <c r="Y79" s="93">
        <f t="shared" si="5"/>
        <v>0</v>
      </c>
      <c r="Z79" s="93">
        <f t="shared" ref="Z79:AF79" si="6">SUM(Z5:Z78)</f>
        <v>0</v>
      </c>
      <c r="AA79" s="93">
        <f t="shared" si="6"/>
        <v>0</v>
      </c>
      <c r="AB79" s="93">
        <f t="shared" si="6"/>
        <v>0</v>
      </c>
      <c r="AC79" s="93">
        <f t="shared" si="6"/>
        <v>0</v>
      </c>
      <c r="AD79" s="93">
        <f t="shared" si="6"/>
        <v>0</v>
      </c>
      <c r="AE79" s="93">
        <f t="shared" si="6"/>
        <v>0</v>
      </c>
      <c r="AF79" s="93">
        <f t="shared" si="6"/>
        <v>0</v>
      </c>
      <c r="AG79" s="93">
        <f>SUM(AG5:AG78)</f>
        <v>0</v>
      </c>
      <c r="AH79" s="93">
        <f>SUM(AH5:AH78)</f>
        <v>0</v>
      </c>
      <c r="AI79" s="93">
        <f>SUM(AI5:AI78)</f>
        <v>0</v>
      </c>
      <c r="AJ79" s="93">
        <f>SUM(AJ5:AJ78)</f>
        <v>0</v>
      </c>
      <c r="AK79" s="93">
        <f>SUM(AK5:AK78)</f>
        <v>0</v>
      </c>
    </row>
    <row r="80" spans="2:37" s="111" customFormat="1" thickTop="1" thickBot="1">
      <c r="B80" s="109" t="s">
        <v>66</v>
      </c>
      <c r="C80" s="581" t="s">
        <v>49</v>
      </c>
      <c r="D80" s="581"/>
      <c r="E80" s="581"/>
      <c r="F80" s="581"/>
      <c r="G80" s="581"/>
      <c r="H80" s="110">
        <f>H79</f>
        <v>0</v>
      </c>
      <c r="I80" s="576">
        <f>+I79+J79</f>
        <v>0</v>
      </c>
      <c r="J80" s="577"/>
      <c r="K80" s="110">
        <f>K79</f>
        <v>0</v>
      </c>
      <c r="L80" s="110">
        <f>L79</f>
        <v>0</v>
      </c>
      <c r="M80" s="110">
        <f>M79</f>
        <v>0</v>
      </c>
      <c r="N80" s="110">
        <f>N79</f>
        <v>0</v>
      </c>
      <c r="O80" s="110">
        <f>O79</f>
        <v>0</v>
      </c>
      <c r="P80" s="576">
        <f>+P79+Q79+R79+S79+T79+U79+V79</f>
        <v>0</v>
      </c>
      <c r="Q80" s="583"/>
      <c r="R80" s="583"/>
      <c r="S80" s="583"/>
      <c r="T80" s="583"/>
      <c r="U80" s="583"/>
      <c r="V80" s="577"/>
      <c r="W80" s="576">
        <f>+W79+X79+Y79</f>
        <v>0</v>
      </c>
      <c r="X80" s="583"/>
      <c r="Y80" s="577"/>
      <c r="Z80" s="110">
        <f>Z79</f>
        <v>0</v>
      </c>
      <c r="AA80" s="110">
        <f>AA79</f>
        <v>0</v>
      </c>
      <c r="AB80" s="110">
        <f>AB79</f>
        <v>0</v>
      </c>
      <c r="AC80" s="576">
        <f>+AC79+AD79+AE79</f>
        <v>0</v>
      </c>
      <c r="AD80" s="583"/>
      <c r="AE80" s="577"/>
      <c r="AF80" s="110">
        <f t="shared" ref="AF80:AK80" si="7">AF79</f>
        <v>0</v>
      </c>
      <c r="AG80" s="110">
        <f t="shared" si="7"/>
        <v>0</v>
      </c>
      <c r="AH80" s="110">
        <f t="shared" si="7"/>
        <v>0</v>
      </c>
      <c r="AI80" s="110">
        <f t="shared" si="7"/>
        <v>0</v>
      </c>
      <c r="AJ80" s="110">
        <f t="shared" si="7"/>
        <v>0</v>
      </c>
      <c r="AK80" s="110">
        <f t="shared" si="7"/>
        <v>0</v>
      </c>
    </row>
    <row r="81" spans="2:37" s="83" customFormat="1" ht="15.5" hidden="1" thickTop="1">
      <c r="B81" s="82" t="s">
        <v>63</v>
      </c>
      <c r="C81" s="79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96">
        <f t="shared" ref="AJ81:AJ186" si="8">SUM(H81:AI81)</f>
        <v>0</v>
      </c>
      <c r="AK81" s="574">
        <f>SUM(AJ81:AJ86)</f>
        <v>0</v>
      </c>
    </row>
    <row r="82" spans="2:37" s="83" customFormat="1" ht="15.5" hidden="1" thickBot="1">
      <c r="B82" s="79" t="s">
        <v>63</v>
      </c>
      <c r="C82" s="79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76">
        <f t="shared" si="8"/>
        <v>0</v>
      </c>
      <c r="AK82" s="563"/>
    </row>
    <row r="83" spans="2:37" s="83" customFormat="1" ht="15" hidden="1">
      <c r="B83" s="79" t="s">
        <v>63</v>
      </c>
      <c r="C83" s="79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76">
        <f t="shared" si="8"/>
        <v>0</v>
      </c>
      <c r="AK83" s="191"/>
    </row>
    <row r="84" spans="2:37" s="83" customFormat="1" ht="15" hidden="1">
      <c r="B84" s="79" t="s">
        <v>63</v>
      </c>
      <c r="C84" s="79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75"/>
      <c r="AA84" s="75"/>
      <c r="AB84" s="75"/>
      <c r="AC84" s="75"/>
      <c r="AD84" s="75"/>
      <c r="AE84" s="75"/>
      <c r="AF84" s="75"/>
      <c r="AG84" s="75"/>
      <c r="AH84" s="75"/>
      <c r="AI84" s="75"/>
      <c r="AJ84" s="76">
        <f t="shared" si="8"/>
        <v>0</v>
      </c>
      <c r="AK84" s="191"/>
    </row>
    <row r="85" spans="2:37" s="83" customFormat="1" ht="15" hidden="1">
      <c r="B85" s="79" t="s">
        <v>63</v>
      </c>
      <c r="C85" s="82"/>
      <c r="D85" s="81"/>
      <c r="E85" s="212"/>
      <c r="F85" s="212"/>
      <c r="G85" s="21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6">
        <f t="shared" si="8"/>
        <v>0</v>
      </c>
      <c r="AK85" s="191"/>
    </row>
    <row r="86" spans="2:37" s="83" customFormat="1" ht="15.5" hidden="1" thickBot="1">
      <c r="B86" s="79" t="s">
        <v>63</v>
      </c>
      <c r="C86" s="82"/>
      <c r="D86" s="81"/>
      <c r="E86" s="211"/>
      <c r="F86" s="211"/>
      <c r="G86" s="21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76">
        <f t="shared" si="8"/>
        <v>0</v>
      </c>
      <c r="AK86" s="231"/>
    </row>
    <row r="87" spans="2:37" s="83" customFormat="1" ht="15" hidden="1">
      <c r="B87" s="79" t="s">
        <v>63</v>
      </c>
      <c r="C87" s="82"/>
      <c r="D87" s="81"/>
      <c r="E87" s="212"/>
      <c r="F87" s="211"/>
      <c r="G87" s="21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76">
        <f t="shared" si="8"/>
        <v>0</v>
      </c>
      <c r="AK87" s="561">
        <f>SUM(AJ87:AJ95)</f>
        <v>0</v>
      </c>
    </row>
    <row r="88" spans="2:37" s="83" customFormat="1" ht="15" hidden="1">
      <c r="B88" s="79" t="s">
        <v>63</v>
      </c>
      <c r="C88" s="82"/>
      <c r="D88" s="81"/>
      <c r="E88" s="212"/>
      <c r="F88" s="212"/>
      <c r="G88" s="21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76">
        <f t="shared" si="8"/>
        <v>0</v>
      </c>
      <c r="AK88" s="562"/>
    </row>
    <row r="89" spans="2:37" s="83" customFormat="1" ht="15" hidden="1">
      <c r="B89" s="79" t="s">
        <v>63</v>
      </c>
      <c r="C89" s="82"/>
      <c r="D89" s="81"/>
      <c r="E89" s="212"/>
      <c r="F89" s="212"/>
      <c r="G89" s="21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6">
        <f t="shared" si="8"/>
        <v>0</v>
      </c>
      <c r="AK89" s="562"/>
    </row>
    <row r="90" spans="2:37" s="83" customFormat="1" ht="15" hidden="1">
      <c r="B90" s="79" t="s">
        <v>63</v>
      </c>
      <c r="C90" s="82"/>
      <c r="D90" s="81"/>
      <c r="E90" s="211"/>
      <c r="F90" s="211"/>
      <c r="G90" s="21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75"/>
      <c r="AA90" s="75"/>
      <c r="AB90" s="108"/>
      <c r="AC90" s="75"/>
      <c r="AD90" s="75"/>
      <c r="AE90" s="75"/>
      <c r="AF90" s="75"/>
      <c r="AG90" s="75"/>
      <c r="AH90" s="75"/>
      <c r="AI90" s="75"/>
      <c r="AJ90" s="76">
        <f t="shared" si="8"/>
        <v>0</v>
      </c>
      <c r="AK90" s="562"/>
    </row>
    <row r="91" spans="2:37" s="83" customFormat="1" ht="15" hidden="1">
      <c r="B91" s="79" t="s">
        <v>63</v>
      </c>
      <c r="C91" s="82"/>
      <c r="D91" s="81"/>
      <c r="E91" s="212"/>
      <c r="F91" s="211"/>
      <c r="G91" s="21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6">
        <f t="shared" si="8"/>
        <v>0</v>
      </c>
      <c r="AK91" s="562"/>
    </row>
    <row r="92" spans="2:37" s="83" customFormat="1" ht="15" hidden="1">
      <c r="B92" s="79" t="s">
        <v>63</v>
      </c>
      <c r="C92" s="82"/>
      <c r="D92" s="81"/>
      <c r="E92" s="81"/>
      <c r="F92" s="264"/>
      <c r="G92" s="21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6">
        <f t="shared" si="8"/>
        <v>0</v>
      </c>
      <c r="AK92" s="562"/>
    </row>
    <row r="93" spans="2:37" s="83" customFormat="1" ht="15" hidden="1">
      <c r="B93" s="79" t="s">
        <v>63</v>
      </c>
      <c r="C93" s="82"/>
      <c r="D93" s="81"/>
      <c r="E93" s="81"/>
      <c r="F93" s="81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6">
        <f t="shared" si="8"/>
        <v>0</v>
      </c>
      <c r="AK93" s="562"/>
    </row>
    <row r="94" spans="2:37" s="83" customFormat="1" ht="15" hidden="1">
      <c r="B94" s="79" t="s">
        <v>63</v>
      </c>
      <c r="C94" s="82"/>
      <c r="D94" s="81"/>
      <c r="E94" s="81"/>
      <c r="F94" s="81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76">
        <f t="shared" si="8"/>
        <v>0</v>
      </c>
      <c r="AK94" s="562"/>
    </row>
    <row r="95" spans="2:37" s="83" customFormat="1" ht="15.5" hidden="1" thickBot="1">
      <c r="B95" s="79" t="s">
        <v>63</v>
      </c>
      <c r="C95" s="82"/>
      <c r="D95" s="81"/>
      <c r="E95" s="81"/>
      <c r="F95" s="81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75"/>
      <c r="AA95" s="75"/>
      <c r="AB95" s="75"/>
      <c r="AC95" s="75"/>
      <c r="AD95" s="75"/>
      <c r="AE95" s="75"/>
      <c r="AF95" s="75"/>
      <c r="AG95" s="75"/>
      <c r="AH95" s="75"/>
      <c r="AI95" s="75"/>
      <c r="AJ95" s="76">
        <f t="shared" si="8"/>
        <v>0</v>
      </c>
      <c r="AK95" s="563"/>
    </row>
    <row r="96" spans="2:37" s="83" customFormat="1" ht="15" hidden="1">
      <c r="B96" s="79" t="s">
        <v>63</v>
      </c>
      <c r="C96" s="82"/>
      <c r="D96" s="81"/>
      <c r="E96" s="81"/>
      <c r="F96" s="81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76">
        <f t="shared" si="8"/>
        <v>0</v>
      </c>
      <c r="AK96" s="561">
        <f>SUM(AJ96:AJ97)</f>
        <v>0</v>
      </c>
    </row>
    <row r="97" spans="2:37" s="83" customFormat="1" ht="15.5" hidden="1" thickBot="1">
      <c r="B97" s="79" t="s">
        <v>63</v>
      </c>
      <c r="C97" s="82"/>
      <c r="D97" s="81"/>
      <c r="E97" s="81"/>
      <c r="F97" s="81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76">
        <f t="shared" si="8"/>
        <v>0</v>
      </c>
      <c r="AK97" s="563"/>
    </row>
    <row r="98" spans="2:37" s="83" customFormat="1" ht="15" hidden="1">
      <c r="B98" s="79" t="s">
        <v>63</v>
      </c>
      <c r="C98" s="82"/>
      <c r="D98" s="81"/>
      <c r="E98" s="81"/>
      <c r="F98" s="81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76">
        <f t="shared" si="8"/>
        <v>0</v>
      </c>
      <c r="AK98" s="561">
        <f>SUM(AJ98:AJ99)</f>
        <v>0</v>
      </c>
    </row>
    <row r="99" spans="2:37" s="83" customFormat="1" ht="15.5" hidden="1" thickBot="1">
      <c r="B99" s="79" t="s">
        <v>63</v>
      </c>
      <c r="C99" s="82"/>
      <c r="D99" s="81"/>
      <c r="E99" s="81"/>
      <c r="F99" s="81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6">
        <f t="shared" si="8"/>
        <v>0</v>
      </c>
      <c r="AK99" s="563"/>
    </row>
    <row r="100" spans="2:37" s="83" customFormat="1" ht="15" hidden="1">
      <c r="B100" s="79" t="s">
        <v>63</v>
      </c>
      <c r="C100" s="82"/>
      <c r="D100" s="81"/>
      <c r="E100" s="81"/>
      <c r="F100" s="81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75"/>
      <c r="AA100" s="75"/>
      <c r="AB100" s="75"/>
      <c r="AC100" s="75"/>
      <c r="AD100" s="75"/>
      <c r="AE100" s="75"/>
      <c r="AF100" s="75"/>
      <c r="AG100" s="75"/>
      <c r="AH100" s="75"/>
      <c r="AI100" s="75"/>
      <c r="AJ100" s="76">
        <f t="shared" si="8"/>
        <v>0</v>
      </c>
      <c r="AK100" s="561">
        <f>SUM(AJ100:AJ101)</f>
        <v>0</v>
      </c>
    </row>
    <row r="101" spans="2:37" s="83" customFormat="1" ht="15.5" hidden="1" thickBot="1">
      <c r="B101" s="79" t="s">
        <v>63</v>
      </c>
      <c r="C101" s="82"/>
      <c r="D101" s="81"/>
      <c r="E101" s="81"/>
      <c r="F101" s="81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6">
        <f t="shared" si="8"/>
        <v>0</v>
      </c>
      <c r="AK101" s="563"/>
    </row>
    <row r="102" spans="2:37" s="83" customFormat="1" ht="15" hidden="1">
      <c r="B102" s="79" t="s">
        <v>63</v>
      </c>
      <c r="C102" s="82"/>
      <c r="D102" s="81"/>
      <c r="E102" s="81"/>
      <c r="F102" s="81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6">
        <f t="shared" si="8"/>
        <v>0</v>
      </c>
      <c r="AK102" s="561">
        <f>SUM(AJ102:AJ103)</f>
        <v>0</v>
      </c>
    </row>
    <row r="103" spans="2:37" s="83" customFormat="1" ht="15" hidden="1">
      <c r="B103" s="79" t="s">
        <v>63</v>
      </c>
      <c r="C103" s="82"/>
      <c r="D103" s="81"/>
      <c r="E103" s="81"/>
      <c r="F103" s="81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76">
        <f t="shared" si="8"/>
        <v>0</v>
      </c>
      <c r="AK103" s="562"/>
    </row>
    <row r="104" spans="2:37" s="83" customFormat="1" ht="15.5" hidden="1" thickBot="1">
      <c r="B104" s="79" t="s">
        <v>63</v>
      </c>
      <c r="C104" s="82"/>
      <c r="D104" s="81"/>
      <c r="E104" s="81"/>
      <c r="F104" s="81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6">
        <f t="shared" si="8"/>
        <v>0</v>
      </c>
      <c r="AK104" s="231"/>
    </row>
    <row r="105" spans="2:37" s="83" customFormat="1" ht="15" hidden="1">
      <c r="B105" s="79" t="s">
        <v>63</v>
      </c>
      <c r="C105" s="82"/>
      <c r="D105" s="81"/>
      <c r="E105" s="81"/>
      <c r="F105" s="81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75"/>
      <c r="AA105" s="75"/>
      <c r="AB105" s="75"/>
      <c r="AC105" s="75"/>
      <c r="AD105" s="75"/>
      <c r="AE105" s="75"/>
      <c r="AF105" s="75"/>
      <c r="AG105" s="75"/>
      <c r="AH105" s="75"/>
      <c r="AI105" s="75"/>
      <c r="AJ105" s="76">
        <f t="shared" si="8"/>
        <v>0</v>
      </c>
      <c r="AK105" s="199"/>
    </row>
    <row r="106" spans="2:37" s="83" customFormat="1" ht="15" hidden="1">
      <c r="B106" s="79" t="s">
        <v>63</v>
      </c>
      <c r="C106" s="82"/>
      <c r="D106" s="81"/>
      <c r="E106" s="81"/>
      <c r="F106" s="81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6">
        <f t="shared" si="8"/>
        <v>0</v>
      </c>
      <c r="AK106" s="191"/>
    </row>
    <row r="107" spans="2:37" s="83" customFormat="1" ht="15" hidden="1">
      <c r="B107" s="79" t="s">
        <v>63</v>
      </c>
      <c r="C107" s="82"/>
      <c r="D107" s="81"/>
      <c r="E107" s="81"/>
      <c r="F107" s="81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75"/>
      <c r="AA107" s="75"/>
      <c r="AB107" s="75"/>
      <c r="AC107" s="75"/>
      <c r="AD107" s="75"/>
      <c r="AE107" s="75"/>
      <c r="AF107" s="75"/>
      <c r="AG107" s="75"/>
      <c r="AH107" s="75"/>
      <c r="AI107" s="75"/>
      <c r="AJ107" s="76">
        <f t="shared" ref="AJ107:AJ116" si="9">SUM(H107:AI107)</f>
        <v>0</v>
      </c>
      <c r="AK107" s="191"/>
    </row>
    <row r="108" spans="2:37" s="83" customFormat="1" ht="15" hidden="1">
      <c r="B108" s="79" t="s">
        <v>63</v>
      </c>
      <c r="C108" s="82"/>
      <c r="D108" s="81"/>
      <c r="E108" s="81"/>
      <c r="F108" s="81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75"/>
      <c r="AA108" s="75"/>
      <c r="AB108" s="75"/>
      <c r="AC108" s="75"/>
      <c r="AD108" s="75"/>
      <c r="AE108" s="75"/>
      <c r="AF108" s="75"/>
      <c r="AG108" s="75"/>
      <c r="AH108" s="75"/>
      <c r="AI108" s="75"/>
      <c r="AJ108" s="76">
        <f t="shared" si="9"/>
        <v>0</v>
      </c>
      <c r="AK108" s="191"/>
    </row>
    <row r="109" spans="2:37" s="83" customFormat="1" ht="15" hidden="1">
      <c r="B109" s="79" t="s">
        <v>63</v>
      </c>
      <c r="C109" s="82"/>
      <c r="D109" s="81"/>
      <c r="E109" s="81"/>
      <c r="F109" s="81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76">
        <f t="shared" si="9"/>
        <v>0</v>
      </c>
      <c r="AK109" s="191"/>
    </row>
    <row r="110" spans="2:37" s="83" customFormat="1" ht="15" hidden="1">
      <c r="B110" s="79" t="s">
        <v>63</v>
      </c>
      <c r="C110" s="82"/>
      <c r="D110" s="81"/>
      <c r="E110" s="81"/>
      <c r="F110" s="81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75"/>
      <c r="AA110" s="75"/>
      <c r="AB110" s="75"/>
      <c r="AC110" s="75"/>
      <c r="AD110" s="75"/>
      <c r="AE110" s="75"/>
      <c r="AF110" s="75"/>
      <c r="AG110" s="75"/>
      <c r="AH110" s="75"/>
      <c r="AI110" s="75"/>
      <c r="AJ110" s="76">
        <f t="shared" si="9"/>
        <v>0</v>
      </c>
      <c r="AK110" s="191"/>
    </row>
    <row r="111" spans="2:37" s="83" customFormat="1" ht="15" hidden="1">
      <c r="B111" s="79" t="s">
        <v>63</v>
      </c>
      <c r="C111" s="82"/>
      <c r="D111" s="81"/>
      <c r="E111" s="81"/>
      <c r="F111" s="81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75"/>
      <c r="AA111" s="75"/>
      <c r="AB111" s="75"/>
      <c r="AC111" s="75"/>
      <c r="AD111" s="75"/>
      <c r="AE111" s="75"/>
      <c r="AF111" s="75"/>
      <c r="AG111" s="75"/>
      <c r="AH111" s="75"/>
      <c r="AI111" s="75"/>
      <c r="AJ111" s="76">
        <f t="shared" si="9"/>
        <v>0</v>
      </c>
      <c r="AK111" s="191"/>
    </row>
    <row r="112" spans="2:37" s="83" customFormat="1" ht="15.5" hidden="1" thickBot="1">
      <c r="B112" s="79" t="s">
        <v>63</v>
      </c>
      <c r="C112" s="82"/>
      <c r="D112" s="81"/>
      <c r="E112" s="81"/>
      <c r="F112" s="81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  <c r="AJ112" s="76">
        <f t="shared" si="9"/>
        <v>0</v>
      </c>
      <c r="AK112" s="192"/>
    </row>
    <row r="113" spans="2:37" s="83" customFormat="1" ht="15.5" hidden="1" thickTop="1">
      <c r="B113" s="79" t="s">
        <v>63</v>
      </c>
      <c r="C113" s="82"/>
      <c r="D113" s="81"/>
      <c r="E113" s="81"/>
      <c r="F113" s="81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75"/>
      <c r="AA113" s="75"/>
      <c r="AB113" s="75"/>
      <c r="AC113" s="75"/>
      <c r="AD113" s="75"/>
      <c r="AE113" s="75"/>
      <c r="AF113" s="75"/>
      <c r="AG113" s="75"/>
      <c r="AH113" s="75"/>
      <c r="AI113" s="75"/>
      <c r="AJ113" s="76">
        <f t="shared" si="9"/>
        <v>0</v>
      </c>
      <c r="AK113" s="278"/>
    </row>
    <row r="114" spans="2:37" s="83" customFormat="1" ht="15" hidden="1">
      <c r="B114" s="79" t="s">
        <v>63</v>
      </c>
      <c r="C114" s="82"/>
      <c r="D114" s="81"/>
      <c r="E114" s="81"/>
      <c r="F114" s="81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75"/>
      <c r="AA114" s="75"/>
      <c r="AB114" s="75"/>
      <c r="AC114" s="75"/>
      <c r="AD114" s="75"/>
      <c r="AE114" s="75"/>
      <c r="AF114" s="75"/>
      <c r="AG114" s="75"/>
      <c r="AH114" s="75"/>
      <c r="AI114" s="75"/>
      <c r="AJ114" s="76">
        <f t="shared" si="9"/>
        <v>0</v>
      </c>
      <c r="AK114" s="191"/>
    </row>
    <row r="115" spans="2:37" s="83" customFormat="1" ht="15" hidden="1">
      <c r="B115" s="79" t="s">
        <v>63</v>
      </c>
      <c r="C115" s="82"/>
      <c r="D115" s="81"/>
      <c r="E115" s="81"/>
      <c r="F115" s="81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75"/>
      <c r="AA115" s="75"/>
      <c r="AB115" s="75"/>
      <c r="AC115" s="75"/>
      <c r="AD115" s="75"/>
      <c r="AE115" s="75"/>
      <c r="AF115" s="75"/>
      <c r="AG115" s="75"/>
      <c r="AH115" s="75"/>
      <c r="AI115" s="75"/>
      <c r="AJ115" s="76">
        <f t="shared" si="9"/>
        <v>0</v>
      </c>
      <c r="AK115" s="191"/>
    </row>
    <row r="116" spans="2:37" s="83" customFormat="1" ht="15" hidden="1">
      <c r="B116" s="79" t="s">
        <v>63</v>
      </c>
      <c r="C116" s="82"/>
      <c r="D116" s="81"/>
      <c r="E116" s="81"/>
      <c r="F116" s="81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6">
        <f t="shared" si="9"/>
        <v>0</v>
      </c>
      <c r="AK116" s="191"/>
    </row>
    <row r="117" spans="2:37" s="83" customFormat="1" ht="15" hidden="1">
      <c r="B117" s="79" t="s">
        <v>63</v>
      </c>
      <c r="C117" s="82"/>
      <c r="D117" s="81"/>
      <c r="E117" s="81"/>
      <c r="F117" s="81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6">
        <f t="shared" si="8"/>
        <v>0</v>
      </c>
      <c r="AK117" s="191"/>
    </row>
    <row r="118" spans="2:37" s="83" customFormat="1" ht="15" hidden="1">
      <c r="B118" s="79" t="s">
        <v>63</v>
      </c>
      <c r="C118" s="82"/>
      <c r="D118" s="81"/>
      <c r="E118" s="81"/>
      <c r="F118" s="81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75"/>
      <c r="AA118" s="75"/>
      <c r="AB118" s="75"/>
      <c r="AC118" s="75"/>
      <c r="AD118" s="75"/>
      <c r="AE118" s="75"/>
      <c r="AF118" s="75"/>
      <c r="AG118" s="75"/>
      <c r="AH118" s="75"/>
      <c r="AI118" s="75"/>
      <c r="AJ118" s="76">
        <f t="shared" si="8"/>
        <v>0</v>
      </c>
      <c r="AK118" s="191"/>
    </row>
    <row r="119" spans="2:37" s="83" customFormat="1" ht="15" hidden="1">
      <c r="B119" s="79" t="s">
        <v>63</v>
      </c>
      <c r="C119" s="82"/>
      <c r="D119" s="81"/>
      <c r="E119" s="81"/>
      <c r="F119" s="81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75"/>
      <c r="AA119" s="75"/>
      <c r="AB119" s="75"/>
      <c r="AC119" s="75"/>
      <c r="AD119" s="75"/>
      <c r="AE119" s="75"/>
      <c r="AF119" s="75"/>
      <c r="AG119" s="75"/>
      <c r="AH119" s="75"/>
      <c r="AI119" s="75"/>
      <c r="AJ119" s="76">
        <f t="shared" si="8"/>
        <v>0</v>
      </c>
      <c r="AK119" s="191"/>
    </row>
    <row r="120" spans="2:37" s="83" customFormat="1" ht="15" hidden="1">
      <c r="B120" s="79" t="s">
        <v>63</v>
      </c>
      <c r="C120" s="82"/>
      <c r="D120" s="81"/>
      <c r="E120" s="81"/>
      <c r="F120" s="81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75"/>
      <c r="AA120" s="75"/>
      <c r="AB120" s="75"/>
      <c r="AC120" s="75"/>
      <c r="AD120" s="75"/>
      <c r="AE120" s="75"/>
      <c r="AF120" s="75"/>
      <c r="AG120" s="75"/>
      <c r="AH120" s="75"/>
      <c r="AI120" s="75"/>
      <c r="AJ120" s="76">
        <f t="shared" si="8"/>
        <v>0</v>
      </c>
      <c r="AK120" s="191"/>
    </row>
    <row r="121" spans="2:37" s="83" customFormat="1" ht="15" hidden="1">
      <c r="B121" s="79" t="s">
        <v>63</v>
      </c>
      <c r="C121" s="82"/>
      <c r="D121" s="81"/>
      <c r="E121" s="81"/>
      <c r="F121" s="81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75"/>
      <c r="AA121" s="75"/>
      <c r="AB121" s="75"/>
      <c r="AC121" s="75"/>
      <c r="AD121" s="75"/>
      <c r="AE121" s="75"/>
      <c r="AF121" s="75"/>
      <c r="AG121" s="75"/>
      <c r="AH121" s="75"/>
      <c r="AI121" s="75"/>
      <c r="AJ121" s="76">
        <f t="shared" si="8"/>
        <v>0</v>
      </c>
      <c r="AK121" s="191"/>
    </row>
    <row r="122" spans="2:37" s="83" customFormat="1" ht="15" hidden="1">
      <c r="B122" s="79" t="s">
        <v>63</v>
      </c>
      <c r="C122" s="82"/>
      <c r="D122" s="81"/>
      <c r="E122" s="81"/>
      <c r="F122" s="81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75"/>
      <c r="AA122" s="75"/>
      <c r="AB122" s="75"/>
      <c r="AC122" s="75"/>
      <c r="AD122" s="75"/>
      <c r="AE122" s="75"/>
      <c r="AF122" s="75"/>
      <c r="AG122" s="75"/>
      <c r="AH122" s="75"/>
      <c r="AI122" s="75"/>
      <c r="AJ122" s="76">
        <f>SUM(H122:AI122)</f>
        <v>0</v>
      </c>
      <c r="AK122" s="191"/>
    </row>
    <row r="123" spans="2:37" s="83" customFormat="1" ht="15" hidden="1">
      <c r="B123" s="79" t="s">
        <v>63</v>
      </c>
      <c r="C123" s="82"/>
      <c r="D123" s="81"/>
      <c r="E123" s="81"/>
      <c r="F123" s="81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75"/>
      <c r="AA123" s="75"/>
      <c r="AB123" s="75"/>
      <c r="AC123" s="75"/>
      <c r="AD123" s="75"/>
      <c r="AE123" s="75"/>
      <c r="AF123" s="75"/>
      <c r="AG123" s="75"/>
      <c r="AH123" s="75"/>
      <c r="AI123" s="75"/>
      <c r="AJ123" s="76">
        <f>SUM(H123:AI123)</f>
        <v>0</v>
      </c>
      <c r="AK123" s="191"/>
    </row>
    <row r="124" spans="2:37" s="83" customFormat="1" ht="15" hidden="1">
      <c r="B124" s="79" t="s">
        <v>63</v>
      </c>
      <c r="C124" s="82"/>
      <c r="D124" s="81"/>
      <c r="E124" s="81"/>
      <c r="F124" s="81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75"/>
      <c r="AA124" s="75"/>
      <c r="AB124" s="75"/>
      <c r="AC124" s="75"/>
      <c r="AD124" s="75"/>
      <c r="AE124" s="75"/>
      <c r="AF124" s="75"/>
      <c r="AG124" s="75"/>
      <c r="AH124" s="75"/>
      <c r="AI124" s="75"/>
      <c r="AJ124" s="76">
        <f>SUM(H124:AI124)</f>
        <v>0</v>
      </c>
      <c r="AK124" s="191"/>
    </row>
    <row r="125" spans="2:37" s="83" customFormat="1" ht="15" hidden="1">
      <c r="B125" s="79" t="s">
        <v>63</v>
      </c>
      <c r="C125" s="82"/>
      <c r="D125" s="81"/>
      <c r="E125" s="81"/>
      <c r="F125" s="81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75"/>
      <c r="AA125" s="75"/>
      <c r="AB125" s="75"/>
      <c r="AC125" s="75"/>
      <c r="AD125" s="75"/>
      <c r="AE125" s="75"/>
      <c r="AF125" s="75"/>
      <c r="AG125" s="75"/>
      <c r="AH125" s="75"/>
      <c r="AI125" s="75"/>
      <c r="AJ125" s="76">
        <f>SUM(H125:AI125)</f>
        <v>0</v>
      </c>
      <c r="AK125" s="191"/>
    </row>
    <row r="126" spans="2:37" s="83" customFormat="1" ht="15" hidden="1">
      <c r="B126" s="79" t="s">
        <v>63</v>
      </c>
      <c r="C126" s="82"/>
      <c r="D126" s="81"/>
      <c r="E126" s="81"/>
      <c r="F126" s="81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75"/>
      <c r="AA126" s="75"/>
      <c r="AB126" s="75"/>
      <c r="AC126" s="75"/>
      <c r="AD126" s="75"/>
      <c r="AE126" s="75"/>
      <c r="AF126" s="75"/>
      <c r="AG126" s="75"/>
      <c r="AH126" s="75"/>
      <c r="AI126" s="75"/>
      <c r="AJ126" s="76">
        <f>SUM(H126:AI126)</f>
        <v>0</v>
      </c>
      <c r="AK126" s="191"/>
    </row>
    <row r="127" spans="2:37" s="83" customFormat="1" ht="15" hidden="1">
      <c r="B127" s="79" t="s">
        <v>63</v>
      </c>
      <c r="C127" s="82"/>
      <c r="D127" s="81"/>
      <c r="E127" s="81"/>
      <c r="F127" s="81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75"/>
      <c r="AA127" s="75"/>
      <c r="AB127" s="75"/>
      <c r="AC127" s="75"/>
      <c r="AD127" s="75"/>
      <c r="AE127" s="75"/>
      <c r="AF127" s="75"/>
      <c r="AG127" s="75"/>
      <c r="AH127" s="75"/>
      <c r="AI127" s="75"/>
      <c r="AJ127" s="76">
        <f t="shared" ref="AJ127:AJ135" si="10">SUM(H127:AI127)</f>
        <v>0</v>
      </c>
      <c r="AK127" s="191"/>
    </row>
    <row r="128" spans="2:37" s="83" customFormat="1" ht="15" hidden="1">
      <c r="B128" s="79" t="s">
        <v>63</v>
      </c>
      <c r="C128" s="82"/>
      <c r="D128" s="81"/>
      <c r="E128" s="81"/>
      <c r="F128" s="81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76">
        <f t="shared" si="10"/>
        <v>0</v>
      </c>
      <c r="AK128" s="213"/>
    </row>
    <row r="129" spans="2:37" s="83" customFormat="1" ht="15" hidden="1">
      <c r="B129" s="79" t="s">
        <v>63</v>
      </c>
      <c r="C129" s="82"/>
      <c r="D129" s="81"/>
      <c r="E129" s="81"/>
      <c r="F129" s="81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75"/>
      <c r="AA129" s="75"/>
      <c r="AB129" s="75"/>
      <c r="AC129" s="75"/>
      <c r="AD129" s="75"/>
      <c r="AE129" s="75"/>
      <c r="AF129" s="75"/>
      <c r="AG129" s="75"/>
      <c r="AH129" s="75"/>
      <c r="AI129" s="75"/>
      <c r="AJ129" s="76">
        <f t="shared" si="10"/>
        <v>0</v>
      </c>
      <c r="AK129" s="279"/>
    </row>
    <row r="130" spans="2:37" s="83" customFormat="1" ht="15" hidden="1">
      <c r="B130" s="79" t="s">
        <v>63</v>
      </c>
      <c r="C130" s="82"/>
      <c r="D130" s="81"/>
      <c r="E130" s="81"/>
      <c r="F130" s="81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75"/>
      <c r="AA130" s="75"/>
      <c r="AB130" s="75"/>
      <c r="AC130" s="75"/>
      <c r="AD130" s="75"/>
      <c r="AE130" s="75"/>
      <c r="AF130" s="75"/>
      <c r="AG130" s="75"/>
      <c r="AH130" s="75"/>
      <c r="AI130" s="75"/>
      <c r="AJ130" s="76">
        <f>SUM(H130:AI130)</f>
        <v>0</v>
      </c>
      <c r="AK130" s="191"/>
    </row>
    <row r="131" spans="2:37" s="83" customFormat="1" ht="15" hidden="1">
      <c r="B131" s="79" t="s">
        <v>63</v>
      </c>
      <c r="C131" s="82"/>
      <c r="D131" s="81"/>
      <c r="E131" s="81"/>
      <c r="F131" s="81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75"/>
      <c r="AA131" s="75"/>
      <c r="AB131" s="75"/>
      <c r="AC131" s="75"/>
      <c r="AD131" s="75"/>
      <c r="AE131" s="75"/>
      <c r="AF131" s="75"/>
      <c r="AG131" s="75"/>
      <c r="AH131" s="75"/>
      <c r="AI131" s="75"/>
      <c r="AJ131" s="76">
        <f>SUM(H131:AI131)</f>
        <v>0</v>
      </c>
      <c r="AK131" s="191"/>
    </row>
    <row r="132" spans="2:37" s="83" customFormat="1" ht="15" hidden="1">
      <c r="B132" s="79" t="s">
        <v>63</v>
      </c>
      <c r="C132" s="82"/>
      <c r="D132" s="81"/>
      <c r="E132" s="81"/>
      <c r="F132" s="81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75"/>
      <c r="AA132" s="75"/>
      <c r="AB132" s="75"/>
      <c r="AC132" s="75"/>
      <c r="AD132" s="75"/>
      <c r="AE132" s="75"/>
      <c r="AF132" s="75"/>
      <c r="AG132" s="75"/>
      <c r="AH132" s="75"/>
      <c r="AI132" s="75"/>
      <c r="AJ132" s="76">
        <f>SUM(H132:AI132)</f>
        <v>0</v>
      </c>
      <c r="AK132" s="191"/>
    </row>
    <row r="133" spans="2:37" s="83" customFormat="1" ht="15" hidden="1">
      <c r="B133" s="79" t="s">
        <v>63</v>
      </c>
      <c r="C133" s="82"/>
      <c r="D133" s="81"/>
      <c r="E133" s="81"/>
      <c r="F133" s="81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75"/>
      <c r="AA133" s="75"/>
      <c r="AB133" s="75"/>
      <c r="AC133" s="75"/>
      <c r="AD133" s="75"/>
      <c r="AE133" s="75"/>
      <c r="AF133" s="75"/>
      <c r="AG133" s="75"/>
      <c r="AH133" s="75"/>
      <c r="AI133" s="75"/>
      <c r="AJ133" s="76">
        <f>SUM(H133:AI133)</f>
        <v>0</v>
      </c>
      <c r="AK133" s="191"/>
    </row>
    <row r="134" spans="2:37" s="83" customFormat="1" ht="15" hidden="1">
      <c r="B134" s="79" t="s">
        <v>63</v>
      </c>
      <c r="C134" s="82"/>
      <c r="D134" s="81"/>
      <c r="E134" s="81"/>
      <c r="F134" s="81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75"/>
      <c r="AA134" s="75"/>
      <c r="AB134" s="75"/>
      <c r="AC134" s="75"/>
      <c r="AD134" s="75"/>
      <c r="AE134" s="75"/>
      <c r="AF134" s="75"/>
      <c r="AG134" s="75"/>
      <c r="AH134" s="75"/>
      <c r="AI134" s="75"/>
      <c r="AJ134" s="76">
        <f t="shared" si="10"/>
        <v>0</v>
      </c>
      <c r="AK134" s="191"/>
    </row>
    <row r="135" spans="2:37" s="83" customFormat="1" ht="15" hidden="1">
      <c r="B135" s="79" t="s">
        <v>63</v>
      </c>
      <c r="C135" s="82"/>
      <c r="D135" s="81"/>
      <c r="E135" s="81"/>
      <c r="F135" s="81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75"/>
      <c r="AA135" s="75"/>
      <c r="AB135" s="75"/>
      <c r="AC135" s="75"/>
      <c r="AD135" s="75"/>
      <c r="AE135" s="75"/>
      <c r="AF135" s="75"/>
      <c r="AG135" s="75"/>
      <c r="AH135" s="75"/>
      <c r="AI135" s="75"/>
      <c r="AJ135" s="76">
        <f t="shared" si="10"/>
        <v>0</v>
      </c>
      <c r="AK135" s="191"/>
    </row>
    <row r="136" spans="2:37" s="83" customFormat="1" ht="15" hidden="1">
      <c r="B136" s="79" t="s">
        <v>63</v>
      </c>
      <c r="C136" s="82"/>
      <c r="D136" s="81"/>
      <c r="E136" s="81"/>
      <c r="F136" s="81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75"/>
      <c r="AA136" s="75"/>
      <c r="AB136" s="75"/>
      <c r="AC136" s="75"/>
      <c r="AD136" s="75"/>
      <c r="AE136" s="75"/>
      <c r="AF136" s="75"/>
      <c r="AG136" s="75"/>
      <c r="AH136" s="75"/>
      <c r="AI136" s="75"/>
      <c r="AJ136" s="76">
        <f>SUM(H136:AI136)</f>
        <v>0</v>
      </c>
      <c r="AK136" s="191"/>
    </row>
    <row r="137" spans="2:37" s="83" customFormat="1" ht="15" hidden="1">
      <c r="B137" s="79" t="s">
        <v>63</v>
      </c>
      <c r="C137" s="82"/>
      <c r="D137" s="81"/>
      <c r="E137" s="81"/>
      <c r="F137" s="81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75"/>
      <c r="AA137" s="75"/>
      <c r="AB137" s="75"/>
      <c r="AC137" s="75"/>
      <c r="AD137" s="75"/>
      <c r="AE137" s="75"/>
      <c r="AF137" s="75"/>
      <c r="AG137" s="75"/>
      <c r="AH137" s="75"/>
      <c r="AI137" s="75"/>
      <c r="AJ137" s="76">
        <f>SUM(H137:AI137)</f>
        <v>0</v>
      </c>
      <c r="AK137" s="191"/>
    </row>
    <row r="138" spans="2:37" s="83" customFormat="1" ht="15" hidden="1">
      <c r="B138" s="79" t="s">
        <v>63</v>
      </c>
      <c r="C138" s="82"/>
      <c r="D138" s="81"/>
      <c r="E138" s="81"/>
      <c r="F138" s="81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75"/>
      <c r="AA138" s="75"/>
      <c r="AB138" s="75"/>
      <c r="AC138" s="75"/>
      <c r="AD138" s="75"/>
      <c r="AE138" s="75"/>
      <c r="AF138" s="75"/>
      <c r="AG138" s="75"/>
      <c r="AH138" s="75"/>
      <c r="AI138" s="75"/>
      <c r="AJ138" s="76">
        <f>SUM(H138:AI138)</f>
        <v>0</v>
      </c>
      <c r="AK138" s="191"/>
    </row>
    <row r="139" spans="2:37" s="83" customFormat="1" ht="15" hidden="1">
      <c r="B139" s="79" t="s">
        <v>63</v>
      </c>
      <c r="C139" s="82"/>
      <c r="D139" s="81"/>
      <c r="E139" s="81"/>
      <c r="F139" s="81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75"/>
      <c r="AA139" s="75"/>
      <c r="AB139" s="75"/>
      <c r="AC139" s="75"/>
      <c r="AD139" s="75"/>
      <c r="AE139" s="75"/>
      <c r="AF139" s="75"/>
      <c r="AG139" s="75"/>
      <c r="AH139" s="75"/>
      <c r="AI139" s="75"/>
      <c r="AJ139" s="76">
        <f t="shared" si="8"/>
        <v>0</v>
      </c>
      <c r="AK139" s="213"/>
    </row>
    <row r="140" spans="2:37" s="83" customFormat="1" ht="15" hidden="1">
      <c r="B140" s="79" t="s">
        <v>63</v>
      </c>
      <c r="C140" s="82"/>
      <c r="D140" s="81"/>
      <c r="E140" s="81"/>
      <c r="F140" s="81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6">
        <f t="shared" si="8"/>
        <v>0</v>
      </c>
      <c r="AK140" s="279"/>
    </row>
    <row r="141" spans="2:37" s="83" customFormat="1" ht="15" hidden="1">
      <c r="B141" s="79" t="s">
        <v>63</v>
      </c>
      <c r="C141" s="82"/>
      <c r="D141" s="81"/>
      <c r="E141" s="81"/>
      <c r="F141" s="81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75"/>
      <c r="AA141" s="75"/>
      <c r="AB141" s="75"/>
      <c r="AC141" s="75"/>
      <c r="AD141" s="75"/>
      <c r="AE141" s="75"/>
      <c r="AF141" s="75"/>
      <c r="AG141" s="75"/>
      <c r="AH141" s="75"/>
      <c r="AI141" s="75"/>
      <c r="AJ141" s="76">
        <f t="shared" si="8"/>
        <v>0</v>
      </c>
      <c r="AK141" s="191"/>
    </row>
    <row r="142" spans="2:37" s="83" customFormat="1" ht="15" hidden="1">
      <c r="B142" s="79" t="s">
        <v>63</v>
      </c>
      <c r="C142" s="82"/>
      <c r="D142" s="81"/>
      <c r="E142" s="81"/>
      <c r="F142" s="81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75"/>
      <c r="AA142" s="75"/>
      <c r="AB142" s="75"/>
      <c r="AC142" s="75"/>
      <c r="AD142" s="75"/>
      <c r="AE142" s="75"/>
      <c r="AF142" s="75"/>
      <c r="AG142" s="75"/>
      <c r="AH142" s="75"/>
      <c r="AI142" s="75"/>
      <c r="AJ142" s="76">
        <f t="shared" si="8"/>
        <v>0</v>
      </c>
      <c r="AK142" s="191"/>
    </row>
    <row r="143" spans="2:37" s="83" customFormat="1" ht="15" hidden="1">
      <c r="B143" s="79" t="s">
        <v>63</v>
      </c>
      <c r="C143" s="82"/>
      <c r="D143" s="81"/>
      <c r="E143" s="81"/>
      <c r="F143" s="81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75"/>
      <c r="AA143" s="75"/>
      <c r="AB143" s="75"/>
      <c r="AC143" s="75"/>
      <c r="AD143" s="75"/>
      <c r="AE143" s="75"/>
      <c r="AF143" s="75"/>
      <c r="AG143" s="75"/>
      <c r="AH143" s="75"/>
      <c r="AI143" s="75"/>
      <c r="AJ143" s="76">
        <f t="shared" si="8"/>
        <v>0</v>
      </c>
      <c r="AK143" s="191"/>
    </row>
    <row r="144" spans="2:37" s="83" customFormat="1" ht="15" hidden="1">
      <c r="B144" s="79" t="s">
        <v>63</v>
      </c>
      <c r="C144" s="82"/>
      <c r="D144" s="81"/>
      <c r="E144" s="81"/>
      <c r="F144" s="81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75"/>
      <c r="AA144" s="75"/>
      <c r="AB144" s="75"/>
      <c r="AC144" s="75"/>
      <c r="AD144" s="75"/>
      <c r="AE144" s="75"/>
      <c r="AF144" s="75"/>
      <c r="AG144" s="75"/>
      <c r="AH144" s="75"/>
      <c r="AI144" s="75"/>
      <c r="AJ144" s="76">
        <f t="shared" si="8"/>
        <v>0</v>
      </c>
      <c r="AK144" s="191"/>
    </row>
    <row r="145" spans="2:37" s="83" customFormat="1" ht="15" hidden="1">
      <c r="B145" s="79" t="s">
        <v>63</v>
      </c>
      <c r="C145" s="82"/>
      <c r="D145" s="81"/>
      <c r="E145" s="81"/>
      <c r="F145" s="81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  <c r="AJ145" s="76">
        <f t="shared" si="8"/>
        <v>0</v>
      </c>
      <c r="AK145" s="213"/>
    </row>
    <row r="146" spans="2:37" s="83" customFormat="1" ht="15" hidden="1">
      <c r="B146" s="79" t="s">
        <v>63</v>
      </c>
      <c r="C146" s="82"/>
      <c r="D146" s="81"/>
      <c r="E146" s="81"/>
      <c r="F146" s="81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75"/>
      <c r="AA146" s="75"/>
      <c r="AB146" s="75"/>
      <c r="AC146" s="75"/>
      <c r="AD146" s="75"/>
      <c r="AE146" s="75"/>
      <c r="AF146" s="75"/>
      <c r="AG146" s="75"/>
      <c r="AH146" s="75"/>
      <c r="AI146" s="75"/>
      <c r="AJ146" s="76">
        <f t="shared" si="8"/>
        <v>0</v>
      </c>
      <c r="AK146" s="77"/>
    </row>
    <row r="147" spans="2:37" s="83" customFormat="1" ht="15" hidden="1">
      <c r="B147" s="79" t="s">
        <v>63</v>
      </c>
      <c r="C147" s="82"/>
      <c r="D147" s="81"/>
      <c r="E147" s="81"/>
      <c r="F147" s="81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75"/>
      <c r="AA147" s="75"/>
      <c r="AB147" s="75"/>
      <c r="AC147" s="75"/>
      <c r="AD147" s="75"/>
      <c r="AE147" s="75"/>
      <c r="AF147" s="75"/>
      <c r="AG147" s="75"/>
      <c r="AH147" s="75"/>
      <c r="AI147" s="75"/>
      <c r="AJ147" s="76">
        <f t="shared" si="8"/>
        <v>0</v>
      </c>
      <c r="AK147" s="77"/>
    </row>
    <row r="148" spans="2:37" s="83" customFormat="1" ht="15" hidden="1">
      <c r="B148" s="79" t="s">
        <v>63</v>
      </c>
      <c r="C148" s="82"/>
      <c r="D148" s="81"/>
      <c r="E148" s="81"/>
      <c r="F148" s="81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  <c r="AJ148" s="76">
        <f t="shared" si="8"/>
        <v>0</v>
      </c>
      <c r="AK148" s="77"/>
    </row>
    <row r="149" spans="2:37" s="83" customFormat="1" ht="15" hidden="1">
      <c r="B149" s="79" t="s">
        <v>63</v>
      </c>
      <c r="C149" s="82"/>
      <c r="D149" s="81"/>
      <c r="E149" s="81"/>
      <c r="F149" s="81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75"/>
      <c r="AA149" s="75"/>
      <c r="AB149" s="75"/>
      <c r="AC149" s="75"/>
      <c r="AD149" s="75"/>
      <c r="AE149" s="75"/>
      <c r="AF149" s="75"/>
      <c r="AG149" s="75"/>
      <c r="AH149" s="75"/>
      <c r="AI149" s="75"/>
      <c r="AJ149" s="76">
        <f t="shared" si="8"/>
        <v>0</v>
      </c>
      <c r="AK149" s="77"/>
    </row>
    <row r="150" spans="2:37" s="83" customFormat="1" ht="15" hidden="1">
      <c r="B150" s="79" t="s">
        <v>63</v>
      </c>
      <c r="C150" s="82"/>
      <c r="D150" s="81"/>
      <c r="E150" s="81"/>
      <c r="F150" s="81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75"/>
      <c r="AA150" s="75"/>
      <c r="AB150" s="75"/>
      <c r="AC150" s="75"/>
      <c r="AD150" s="75"/>
      <c r="AE150" s="75"/>
      <c r="AF150" s="75"/>
      <c r="AG150" s="75"/>
      <c r="AH150" s="75"/>
      <c r="AI150" s="75"/>
      <c r="AJ150" s="76">
        <f t="shared" si="8"/>
        <v>0</v>
      </c>
      <c r="AK150" s="77"/>
    </row>
    <row r="151" spans="2:37" s="83" customFormat="1" ht="15" hidden="1">
      <c r="B151" s="79" t="s">
        <v>63</v>
      </c>
      <c r="C151" s="82"/>
      <c r="D151" s="81"/>
      <c r="E151" s="81"/>
      <c r="F151" s="81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75"/>
      <c r="AA151" s="75"/>
      <c r="AB151" s="75"/>
      <c r="AC151" s="75"/>
      <c r="AD151" s="75"/>
      <c r="AE151" s="75"/>
      <c r="AF151" s="75"/>
      <c r="AG151" s="75"/>
      <c r="AH151" s="75"/>
      <c r="AI151" s="75"/>
      <c r="AJ151" s="76">
        <f t="shared" si="8"/>
        <v>0</v>
      </c>
      <c r="AK151" s="77"/>
    </row>
    <row r="152" spans="2:37" s="83" customFormat="1" ht="15" hidden="1">
      <c r="B152" s="79" t="s">
        <v>63</v>
      </c>
      <c r="C152" s="82"/>
      <c r="D152" s="81"/>
      <c r="E152" s="81"/>
      <c r="F152" s="81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76">
        <f t="shared" si="8"/>
        <v>0</v>
      </c>
      <c r="AK152" s="77"/>
    </row>
    <row r="153" spans="2:37" s="83" customFormat="1" ht="15" hidden="1">
      <c r="B153" s="79" t="s">
        <v>63</v>
      </c>
      <c r="C153" s="82"/>
      <c r="D153" s="81"/>
      <c r="E153" s="81"/>
      <c r="F153" s="81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75"/>
      <c r="AA153" s="75"/>
      <c r="AB153" s="75"/>
      <c r="AC153" s="75"/>
      <c r="AD153" s="75"/>
      <c r="AE153" s="75"/>
      <c r="AF153" s="75"/>
      <c r="AG153" s="75"/>
      <c r="AH153" s="75"/>
      <c r="AI153" s="75"/>
      <c r="AJ153" s="76">
        <f t="shared" si="8"/>
        <v>0</v>
      </c>
      <c r="AK153" s="77"/>
    </row>
    <row r="154" spans="2:37" s="83" customFormat="1" ht="15" hidden="1">
      <c r="B154" s="79" t="s">
        <v>63</v>
      </c>
      <c r="C154" s="82"/>
      <c r="D154" s="81"/>
      <c r="E154" s="81"/>
      <c r="F154" s="81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75"/>
      <c r="AA154" s="75"/>
      <c r="AB154" s="75"/>
      <c r="AC154" s="75"/>
      <c r="AD154" s="75"/>
      <c r="AE154" s="75"/>
      <c r="AF154" s="75"/>
      <c r="AG154" s="75"/>
      <c r="AH154" s="75"/>
      <c r="AI154" s="75"/>
      <c r="AJ154" s="76">
        <f t="shared" si="8"/>
        <v>0</v>
      </c>
      <c r="AK154" s="77"/>
    </row>
    <row r="155" spans="2:37" s="83" customFormat="1" ht="15" hidden="1">
      <c r="B155" s="79" t="s">
        <v>63</v>
      </c>
      <c r="C155" s="82"/>
      <c r="D155" s="81"/>
      <c r="E155" s="81"/>
      <c r="F155" s="81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75"/>
      <c r="AA155" s="75"/>
      <c r="AB155" s="75"/>
      <c r="AC155" s="75"/>
      <c r="AD155" s="75"/>
      <c r="AE155" s="75"/>
      <c r="AF155" s="75"/>
      <c r="AG155" s="75"/>
      <c r="AH155" s="75"/>
      <c r="AI155" s="75"/>
      <c r="AJ155" s="76">
        <f t="shared" ref="AJ155:AJ169" si="11">SUM(H155:AI155)</f>
        <v>0</v>
      </c>
      <c r="AK155" s="77"/>
    </row>
    <row r="156" spans="2:37" s="83" customFormat="1" ht="15" hidden="1">
      <c r="B156" s="79" t="s">
        <v>63</v>
      </c>
      <c r="C156" s="82"/>
      <c r="D156" s="81"/>
      <c r="E156" s="81"/>
      <c r="F156" s="81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75"/>
      <c r="AA156" s="75"/>
      <c r="AB156" s="75"/>
      <c r="AC156" s="75"/>
      <c r="AD156" s="75"/>
      <c r="AE156" s="75"/>
      <c r="AF156" s="75"/>
      <c r="AG156" s="75"/>
      <c r="AH156" s="75"/>
      <c r="AI156" s="75"/>
      <c r="AJ156" s="76">
        <f t="shared" si="11"/>
        <v>0</v>
      </c>
      <c r="AK156" s="77"/>
    </row>
    <row r="157" spans="2:37" s="83" customFormat="1" ht="15" hidden="1">
      <c r="B157" s="79" t="s">
        <v>63</v>
      </c>
      <c r="C157" s="82"/>
      <c r="D157" s="81"/>
      <c r="E157" s="81"/>
      <c r="F157" s="81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76">
        <f t="shared" si="11"/>
        <v>0</v>
      </c>
      <c r="AK157" s="77"/>
    </row>
    <row r="158" spans="2:37" s="83" customFormat="1" ht="15" hidden="1">
      <c r="B158" s="79" t="s">
        <v>63</v>
      </c>
      <c r="C158" s="82"/>
      <c r="D158" s="81"/>
      <c r="E158" s="81"/>
      <c r="F158" s="81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75"/>
      <c r="AA158" s="75"/>
      <c r="AB158" s="75"/>
      <c r="AC158" s="75"/>
      <c r="AD158" s="75"/>
      <c r="AE158" s="75"/>
      <c r="AF158" s="75"/>
      <c r="AG158" s="75"/>
      <c r="AH158" s="75"/>
      <c r="AI158" s="75"/>
      <c r="AJ158" s="76">
        <f t="shared" si="11"/>
        <v>0</v>
      </c>
      <c r="AK158" s="77"/>
    </row>
    <row r="159" spans="2:37" s="83" customFormat="1" ht="15" hidden="1">
      <c r="B159" s="79" t="s">
        <v>63</v>
      </c>
      <c r="C159" s="82"/>
      <c r="D159" s="81"/>
      <c r="E159" s="81"/>
      <c r="F159" s="81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75"/>
      <c r="AA159" s="75"/>
      <c r="AB159" s="75"/>
      <c r="AC159" s="75"/>
      <c r="AD159" s="75"/>
      <c r="AE159" s="75"/>
      <c r="AF159" s="75"/>
      <c r="AG159" s="75"/>
      <c r="AH159" s="75"/>
      <c r="AI159" s="75"/>
      <c r="AJ159" s="76">
        <f t="shared" si="11"/>
        <v>0</v>
      </c>
      <c r="AK159" s="77"/>
    </row>
    <row r="160" spans="2:37" s="83" customFormat="1" ht="15" hidden="1">
      <c r="B160" s="79" t="s">
        <v>63</v>
      </c>
      <c r="C160" s="82"/>
      <c r="D160" s="81"/>
      <c r="E160" s="81"/>
      <c r="F160" s="81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75"/>
      <c r="AA160" s="75"/>
      <c r="AB160" s="75"/>
      <c r="AC160" s="75"/>
      <c r="AD160" s="75"/>
      <c r="AE160" s="75"/>
      <c r="AF160" s="75"/>
      <c r="AG160" s="75"/>
      <c r="AH160" s="75"/>
      <c r="AI160" s="75"/>
      <c r="AJ160" s="76">
        <f t="shared" si="11"/>
        <v>0</v>
      </c>
      <c r="AK160" s="77"/>
    </row>
    <row r="161" spans="2:37" s="83" customFormat="1" ht="15" hidden="1">
      <c r="B161" s="79" t="s">
        <v>63</v>
      </c>
      <c r="C161" s="82"/>
      <c r="D161" s="81"/>
      <c r="E161" s="81"/>
      <c r="F161" s="81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75"/>
      <c r="AA161" s="75"/>
      <c r="AB161" s="75"/>
      <c r="AC161" s="75"/>
      <c r="AD161" s="75"/>
      <c r="AE161" s="75"/>
      <c r="AF161" s="75"/>
      <c r="AG161" s="75"/>
      <c r="AH161" s="75"/>
      <c r="AI161" s="75"/>
      <c r="AJ161" s="76">
        <f t="shared" si="11"/>
        <v>0</v>
      </c>
      <c r="AK161" s="77"/>
    </row>
    <row r="162" spans="2:37" s="83" customFormat="1" ht="15" hidden="1">
      <c r="B162" s="79" t="s">
        <v>63</v>
      </c>
      <c r="C162" s="82"/>
      <c r="D162" s="81"/>
      <c r="E162" s="81"/>
      <c r="F162" s="81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75"/>
      <c r="AA162" s="75"/>
      <c r="AB162" s="75"/>
      <c r="AC162" s="75"/>
      <c r="AD162" s="75"/>
      <c r="AE162" s="75"/>
      <c r="AF162" s="75"/>
      <c r="AG162" s="75"/>
      <c r="AH162" s="75"/>
      <c r="AI162" s="75"/>
      <c r="AJ162" s="76">
        <f t="shared" si="11"/>
        <v>0</v>
      </c>
      <c r="AK162" s="77"/>
    </row>
    <row r="163" spans="2:37" s="83" customFormat="1" ht="15" hidden="1">
      <c r="B163" s="79" t="s">
        <v>63</v>
      </c>
      <c r="C163" s="82"/>
      <c r="D163" s="81"/>
      <c r="E163" s="81"/>
      <c r="F163" s="81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75"/>
      <c r="AA163" s="75"/>
      <c r="AB163" s="75"/>
      <c r="AC163" s="75"/>
      <c r="AD163" s="75"/>
      <c r="AE163" s="75"/>
      <c r="AF163" s="75"/>
      <c r="AG163" s="75"/>
      <c r="AH163" s="75"/>
      <c r="AI163" s="75"/>
      <c r="AJ163" s="76">
        <f t="shared" si="11"/>
        <v>0</v>
      </c>
      <c r="AK163" s="77"/>
    </row>
    <row r="164" spans="2:37" s="83" customFormat="1" ht="15" hidden="1">
      <c r="B164" s="79" t="s">
        <v>63</v>
      </c>
      <c r="C164" s="82"/>
      <c r="D164" s="81"/>
      <c r="E164" s="81"/>
      <c r="F164" s="81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76">
        <f t="shared" si="11"/>
        <v>0</v>
      </c>
      <c r="AK164" s="77"/>
    </row>
    <row r="165" spans="2:37" s="83" customFormat="1" ht="15" hidden="1">
      <c r="B165" s="79" t="s">
        <v>63</v>
      </c>
      <c r="C165" s="82"/>
      <c r="D165" s="81"/>
      <c r="E165" s="81"/>
      <c r="F165" s="81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75"/>
      <c r="AA165" s="75"/>
      <c r="AB165" s="75"/>
      <c r="AC165" s="75"/>
      <c r="AD165" s="75"/>
      <c r="AE165" s="75"/>
      <c r="AF165" s="75"/>
      <c r="AG165" s="75"/>
      <c r="AH165" s="75"/>
      <c r="AI165" s="75"/>
      <c r="AJ165" s="76">
        <f t="shared" si="11"/>
        <v>0</v>
      </c>
      <c r="AK165" s="77"/>
    </row>
    <row r="166" spans="2:37" s="83" customFormat="1" ht="15" hidden="1">
      <c r="B166" s="79" t="s">
        <v>63</v>
      </c>
      <c r="C166" s="82"/>
      <c r="D166" s="81"/>
      <c r="E166" s="81"/>
      <c r="F166" s="81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75"/>
      <c r="AA166" s="75"/>
      <c r="AB166" s="75"/>
      <c r="AC166" s="75"/>
      <c r="AD166" s="75"/>
      <c r="AE166" s="75"/>
      <c r="AF166" s="75"/>
      <c r="AG166" s="75"/>
      <c r="AH166" s="75"/>
      <c r="AI166" s="75"/>
      <c r="AJ166" s="76">
        <f t="shared" si="11"/>
        <v>0</v>
      </c>
      <c r="AK166" s="77"/>
    </row>
    <row r="167" spans="2:37" s="83" customFormat="1" ht="15" hidden="1">
      <c r="B167" s="79" t="s">
        <v>63</v>
      </c>
      <c r="C167" s="82"/>
      <c r="D167" s="81"/>
      <c r="E167" s="81"/>
      <c r="F167" s="81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75"/>
      <c r="AA167" s="75"/>
      <c r="AB167" s="75"/>
      <c r="AC167" s="75"/>
      <c r="AD167" s="75"/>
      <c r="AE167" s="75"/>
      <c r="AF167" s="75"/>
      <c r="AG167" s="75"/>
      <c r="AH167" s="75"/>
      <c r="AI167" s="75"/>
      <c r="AJ167" s="76">
        <f t="shared" si="11"/>
        <v>0</v>
      </c>
      <c r="AK167" s="77"/>
    </row>
    <row r="168" spans="2:37" s="83" customFormat="1" ht="15" hidden="1">
      <c r="B168" s="79" t="s">
        <v>63</v>
      </c>
      <c r="C168" s="82"/>
      <c r="D168" s="81"/>
      <c r="E168" s="81"/>
      <c r="F168" s="81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75"/>
      <c r="AA168" s="75"/>
      <c r="AB168" s="75"/>
      <c r="AC168" s="75"/>
      <c r="AD168" s="75"/>
      <c r="AE168" s="75"/>
      <c r="AF168" s="75"/>
      <c r="AG168" s="75"/>
      <c r="AH168" s="75"/>
      <c r="AI168" s="75"/>
      <c r="AJ168" s="76">
        <f t="shared" si="11"/>
        <v>0</v>
      </c>
      <c r="AK168" s="77"/>
    </row>
    <row r="169" spans="2:37" s="83" customFormat="1" ht="15" hidden="1">
      <c r="B169" s="79" t="s">
        <v>63</v>
      </c>
      <c r="C169" s="82"/>
      <c r="D169" s="81"/>
      <c r="E169" s="81"/>
      <c r="F169" s="81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75"/>
      <c r="AA169" s="75"/>
      <c r="AB169" s="75"/>
      <c r="AC169" s="75"/>
      <c r="AD169" s="75"/>
      <c r="AE169" s="75"/>
      <c r="AF169" s="75"/>
      <c r="AG169" s="75"/>
      <c r="AH169" s="75"/>
      <c r="AI169" s="75"/>
      <c r="AJ169" s="76">
        <f t="shared" si="11"/>
        <v>0</v>
      </c>
      <c r="AK169" s="77"/>
    </row>
    <row r="170" spans="2:37" s="83" customFormat="1" ht="15" hidden="1">
      <c r="B170" s="79" t="s">
        <v>63</v>
      </c>
      <c r="C170" s="82"/>
      <c r="D170" s="81"/>
      <c r="E170" s="81"/>
      <c r="F170" s="81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75"/>
      <c r="AA170" s="75"/>
      <c r="AB170" s="75"/>
      <c r="AC170" s="75"/>
      <c r="AD170" s="75"/>
      <c r="AE170" s="75"/>
      <c r="AF170" s="75"/>
      <c r="AG170" s="75"/>
      <c r="AH170" s="75"/>
      <c r="AI170" s="75"/>
      <c r="AJ170" s="76">
        <f t="shared" si="8"/>
        <v>0</v>
      </c>
      <c r="AK170" s="77"/>
    </row>
    <row r="171" spans="2:37" s="83" customFormat="1" ht="15" hidden="1">
      <c r="B171" s="79" t="s">
        <v>63</v>
      </c>
      <c r="C171" s="82"/>
      <c r="D171" s="81"/>
      <c r="E171" s="81"/>
      <c r="F171" s="81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75"/>
      <c r="AA171" s="75"/>
      <c r="AB171" s="75"/>
      <c r="AC171" s="75"/>
      <c r="AD171" s="75"/>
      <c r="AE171" s="75"/>
      <c r="AF171" s="75"/>
      <c r="AG171" s="75"/>
      <c r="AH171" s="75"/>
      <c r="AI171" s="75"/>
      <c r="AJ171" s="76">
        <f t="shared" si="8"/>
        <v>0</v>
      </c>
      <c r="AK171" s="77"/>
    </row>
    <row r="172" spans="2:37" s="83" customFormat="1" ht="15" hidden="1">
      <c r="B172" s="79" t="s">
        <v>63</v>
      </c>
      <c r="C172" s="82"/>
      <c r="D172" s="81"/>
      <c r="E172" s="81"/>
      <c r="F172" s="81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75"/>
      <c r="AA172" s="75"/>
      <c r="AB172" s="75"/>
      <c r="AC172" s="75"/>
      <c r="AD172" s="75"/>
      <c r="AE172" s="75"/>
      <c r="AF172" s="75"/>
      <c r="AG172" s="75"/>
      <c r="AH172" s="75"/>
      <c r="AI172" s="75"/>
      <c r="AJ172" s="76">
        <f t="shared" si="8"/>
        <v>0</v>
      </c>
      <c r="AK172" s="77"/>
    </row>
    <row r="173" spans="2:37" s="83" customFormat="1" ht="15" hidden="1">
      <c r="B173" s="79" t="s">
        <v>63</v>
      </c>
      <c r="C173" s="82"/>
      <c r="D173" s="81"/>
      <c r="E173" s="81"/>
      <c r="F173" s="81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75"/>
      <c r="AA173" s="75"/>
      <c r="AB173" s="75"/>
      <c r="AC173" s="75"/>
      <c r="AD173" s="75"/>
      <c r="AE173" s="75"/>
      <c r="AF173" s="75"/>
      <c r="AG173" s="75"/>
      <c r="AH173" s="75"/>
      <c r="AI173" s="75"/>
      <c r="AJ173" s="76">
        <f t="shared" si="8"/>
        <v>0</v>
      </c>
      <c r="AK173" s="77"/>
    </row>
    <row r="174" spans="2:37" s="83" customFormat="1" ht="15" hidden="1">
      <c r="B174" s="79" t="s">
        <v>63</v>
      </c>
      <c r="C174" s="82"/>
      <c r="D174" s="81"/>
      <c r="E174" s="81"/>
      <c r="F174" s="81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75"/>
      <c r="AA174" s="75"/>
      <c r="AB174" s="75"/>
      <c r="AC174" s="75"/>
      <c r="AD174" s="75"/>
      <c r="AE174" s="75"/>
      <c r="AF174" s="75"/>
      <c r="AG174" s="75"/>
      <c r="AH174" s="75"/>
      <c r="AI174" s="75"/>
      <c r="AJ174" s="76">
        <f t="shared" ref="AJ174:AJ181" si="12">SUM(H174:AI174)</f>
        <v>0</v>
      </c>
      <c r="AK174" s="77"/>
    </row>
    <row r="175" spans="2:37" s="83" customFormat="1" ht="15" hidden="1">
      <c r="B175" s="79" t="s">
        <v>63</v>
      </c>
      <c r="C175" s="82"/>
      <c r="D175" s="81"/>
      <c r="E175" s="81"/>
      <c r="F175" s="81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76">
        <f t="shared" si="12"/>
        <v>0</v>
      </c>
      <c r="AK175" s="77"/>
    </row>
    <row r="176" spans="2:37" s="83" customFormat="1" ht="15" hidden="1">
      <c r="B176" s="79" t="s">
        <v>63</v>
      </c>
      <c r="C176" s="82"/>
      <c r="D176" s="81"/>
      <c r="E176" s="81"/>
      <c r="F176" s="81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6">
        <f t="shared" si="12"/>
        <v>0</v>
      </c>
      <c r="AK176" s="77"/>
    </row>
    <row r="177" spans="2:37" s="83" customFormat="1" ht="15" hidden="1">
      <c r="B177" s="79" t="s">
        <v>63</v>
      </c>
      <c r="C177" s="82"/>
      <c r="D177" s="81"/>
      <c r="E177" s="81"/>
      <c r="F177" s="81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75"/>
      <c r="AA177" s="75"/>
      <c r="AB177" s="75"/>
      <c r="AC177" s="75"/>
      <c r="AD177" s="75"/>
      <c r="AE177" s="75"/>
      <c r="AF177" s="75"/>
      <c r="AG177" s="75"/>
      <c r="AH177" s="75"/>
      <c r="AI177" s="75"/>
      <c r="AJ177" s="76">
        <f t="shared" si="12"/>
        <v>0</v>
      </c>
      <c r="AK177" s="77"/>
    </row>
    <row r="178" spans="2:37" s="83" customFormat="1" ht="15" hidden="1">
      <c r="B178" s="79" t="s">
        <v>63</v>
      </c>
      <c r="C178" s="82"/>
      <c r="D178" s="81"/>
      <c r="E178" s="81"/>
      <c r="F178" s="81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75"/>
      <c r="AA178" s="75"/>
      <c r="AB178" s="75"/>
      <c r="AC178" s="75"/>
      <c r="AD178" s="75"/>
      <c r="AE178" s="75"/>
      <c r="AF178" s="75"/>
      <c r="AG178" s="75"/>
      <c r="AH178" s="75"/>
      <c r="AI178" s="75"/>
      <c r="AJ178" s="76">
        <f t="shared" si="12"/>
        <v>0</v>
      </c>
      <c r="AK178" s="77"/>
    </row>
    <row r="179" spans="2:37" s="83" customFormat="1" ht="15" hidden="1">
      <c r="B179" s="79" t="s">
        <v>63</v>
      </c>
      <c r="C179" s="82"/>
      <c r="D179" s="81"/>
      <c r="E179" s="81"/>
      <c r="F179" s="81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76">
        <f t="shared" si="12"/>
        <v>0</v>
      </c>
      <c r="AK179" s="77"/>
    </row>
    <row r="180" spans="2:37" s="83" customFormat="1" ht="15" hidden="1">
      <c r="B180" s="79" t="s">
        <v>63</v>
      </c>
      <c r="C180" s="82"/>
      <c r="D180" s="81"/>
      <c r="E180" s="81"/>
      <c r="F180" s="81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75"/>
      <c r="AA180" s="75"/>
      <c r="AB180" s="75"/>
      <c r="AC180" s="75"/>
      <c r="AD180" s="75"/>
      <c r="AE180" s="75"/>
      <c r="AF180" s="75"/>
      <c r="AG180" s="75"/>
      <c r="AH180" s="75"/>
      <c r="AI180" s="75"/>
      <c r="AJ180" s="76">
        <f t="shared" si="12"/>
        <v>0</v>
      </c>
      <c r="AK180" s="77"/>
    </row>
    <row r="181" spans="2:37" s="83" customFormat="1" ht="15" hidden="1">
      <c r="B181" s="79" t="s">
        <v>63</v>
      </c>
      <c r="C181" s="82"/>
      <c r="D181" s="81"/>
      <c r="E181" s="81"/>
      <c r="F181" s="81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75"/>
      <c r="AA181" s="75"/>
      <c r="AB181" s="75"/>
      <c r="AC181" s="75"/>
      <c r="AD181" s="75"/>
      <c r="AE181" s="75"/>
      <c r="AF181" s="75"/>
      <c r="AG181" s="75"/>
      <c r="AH181" s="75"/>
      <c r="AI181" s="75"/>
      <c r="AJ181" s="76">
        <f t="shared" si="12"/>
        <v>0</v>
      </c>
      <c r="AK181" s="77"/>
    </row>
    <row r="182" spans="2:37" s="83" customFormat="1" ht="15" hidden="1">
      <c r="B182" s="79" t="s">
        <v>63</v>
      </c>
      <c r="C182" s="82"/>
      <c r="D182" s="81"/>
      <c r="E182" s="81"/>
      <c r="F182" s="81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75"/>
      <c r="AA182" s="75"/>
      <c r="AB182" s="75"/>
      <c r="AC182" s="75"/>
      <c r="AD182" s="75"/>
      <c r="AE182" s="75"/>
      <c r="AF182" s="75"/>
      <c r="AG182" s="75"/>
      <c r="AH182" s="75"/>
      <c r="AI182" s="75"/>
      <c r="AJ182" s="76">
        <f t="shared" si="8"/>
        <v>0</v>
      </c>
      <c r="AK182" s="77"/>
    </row>
    <row r="183" spans="2:37" s="83" customFormat="1" ht="15" hidden="1">
      <c r="B183" s="79" t="s">
        <v>63</v>
      </c>
      <c r="C183" s="82"/>
      <c r="D183" s="81"/>
      <c r="E183" s="81"/>
      <c r="F183" s="81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75"/>
      <c r="AA183" s="75"/>
      <c r="AB183" s="75"/>
      <c r="AC183" s="75"/>
      <c r="AD183" s="75"/>
      <c r="AE183" s="75"/>
      <c r="AF183" s="75"/>
      <c r="AG183" s="75"/>
      <c r="AH183" s="75"/>
      <c r="AI183" s="75"/>
      <c r="AJ183" s="76">
        <f t="shared" si="8"/>
        <v>0</v>
      </c>
      <c r="AK183" s="77"/>
    </row>
    <row r="184" spans="2:37" s="83" customFormat="1" ht="15" hidden="1">
      <c r="B184" s="79" t="s">
        <v>63</v>
      </c>
      <c r="C184" s="82"/>
      <c r="D184" s="81"/>
      <c r="E184" s="81"/>
      <c r="F184" s="81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75"/>
      <c r="AA184" s="75"/>
      <c r="AB184" s="75"/>
      <c r="AC184" s="75"/>
      <c r="AD184" s="75"/>
      <c r="AE184" s="75"/>
      <c r="AF184" s="75"/>
      <c r="AG184" s="75"/>
      <c r="AH184" s="75"/>
      <c r="AI184" s="75"/>
      <c r="AJ184" s="76">
        <f t="shared" si="8"/>
        <v>0</v>
      </c>
      <c r="AK184" s="77"/>
    </row>
    <row r="185" spans="2:37" s="83" customFormat="1" ht="15" hidden="1">
      <c r="B185" s="79" t="s">
        <v>63</v>
      </c>
      <c r="C185" s="82"/>
      <c r="D185" s="81"/>
      <c r="E185" s="81"/>
      <c r="F185" s="81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75"/>
      <c r="AA185" s="75"/>
      <c r="AB185" s="75"/>
      <c r="AC185" s="75"/>
      <c r="AD185" s="75"/>
      <c r="AE185" s="75"/>
      <c r="AF185" s="75"/>
      <c r="AG185" s="75"/>
      <c r="AH185" s="75"/>
      <c r="AI185" s="75"/>
      <c r="AJ185" s="76">
        <f t="shared" si="8"/>
        <v>0</v>
      </c>
      <c r="AK185" s="77"/>
    </row>
    <row r="186" spans="2:37" s="83" customFormat="1" thickTop="1" thickBot="1">
      <c r="B186" s="79" t="s">
        <v>63</v>
      </c>
      <c r="C186" s="82"/>
      <c r="D186" s="81"/>
      <c r="E186" s="81"/>
      <c r="F186" s="81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75"/>
      <c r="AA186" s="75"/>
      <c r="AB186" s="75"/>
      <c r="AC186" s="75"/>
      <c r="AD186" s="75"/>
      <c r="AE186" s="75"/>
      <c r="AF186" s="75"/>
      <c r="AG186" s="75"/>
      <c r="AH186" s="75"/>
      <c r="AI186" s="75"/>
      <c r="AJ186" s="76">
        <f t="shared" si="8"/>
        <v>0</v>
      </c>
      <c r="AK186" s="77"/>
    </row>
    <row r="187" spans="2:37" s="83" customFormat="1" thickTop="1" thickBot="1">
      <c r="B187" s="92" t="s">
        <v>73</v>
      </c>
      <c r="C187" s="578" t="s">
        <v>74</v>
      </c>
      <c r="D187" s="578"/>
      <c r="E187" s="578"/>
      <c r="F187" s="578"/>
      <c r="G187" s="578"/>
      <c r="H187" s="93">
        <f t="shared" ref="H187:AK187" si="13">SUM(H81:H186)</f>
        <v>0</v>
      </c>
      <c r="I187" s="93">
        <f t="shared" si="13"/>
        <v>0</v>
      </c>
      <c r="J187" s="93">
        <f>SUM(J81:J186)</f>
        <v>0</v>
      </c>
      <c r="K187" s="93">
        <f t="shared" si="13"/>
        <v>0</v>
      </c>
      <c r="L187" s="93">
        <f t="shared" si="13"/>
        <v>0</v>
      </c>
      <c r="M187" s="93">
        <f t="shared" si="13"/>
        <v>0</v>
      </c>
      <c r="N187" s="93">
        <f t="shared" si="13"/>
        <v>0</v>
      </c>
      <c r="O187" s="93">
        <f t="shared" si="13"/>
        <v>0</v>
      </c>
      <c r="P187" s="93">
        <f t="shared" si="13"/>
        <v>0</v>
      </c>
      <c r="Q187" s="93">
        <f t="shared" si="13"/>
        <v>0</v>
      </c>
      <c r="R187" s="93">
        <f t="shared" si="13"/>
        <v>0</v>
      </c>
      <c r="S187" s="93">
        <f t="shared" si="13"/>
        <v>0</v>
      </c>
      <c r="T187" s="93">
        <f t="shared" si="13"/>
        <v>0</v>
      </c>
      <c r="U187" s="93">
        <f t="shared" si="13"/>
        <v>0</v>
      </c>
      <c r="V187" s="93">
        <f t="shared" si="13"/>
        <v>0</v>
      </c>
      <c r="W187" s="93">
        <f t="shared" si="13"/>
        <v>0</v>
      </c>
      <c r="X187" s="93">
        <f t="shared" si="13"/>
        <v>0</v>
      </c>
      <c r="Y187" s="93">
        <f t="shared" si="13"/>
        <v>0</v>
      </c>
      <c r="Z187" s="93">
        <f t="shared" si="13"/>
        <v>0</v>
      </c>
      <c r="AA187" s="93">
        <f t="shared" si="13"/>
        <v>0</v>
      </c>
      <c r="AB187" s="93">
        <f t="shared" si="13"/>
        <v>0</v>
      </c>
      <c r="AC187" s="93">
        <f t="shared" si="13"/>
        <v>0</v>
      </c>
      <c r="AD187" s="93">
        <f t="shared" si="13"/>
        <v>0</v>
      </c>
      <c r="AE187" s="93">
        <f t="shared" si="13"/>
        <v>0</v>
      </c>
      <c r="AF187" s="93">
        <f t="shared" si="13"/>
        <v>0</v>
      </c>
      <c r="AG187" s="93">
        <f>SUM(AG81:AG186)</f>
        <v>0</v>
      </c>
      <c r="AH187" s="93">
        <f>SUM(AH81:AH186)</f>
        <v>0</v>
      </c>
      <c r="AI187" s="93">
        <f t="shared" si="13"/>
        <v>0</v>
      </c>
      <c r="AJ187" s="93">
        <f>SUM(AJ81:AJ186)</f>
        <v>0</v>
      </c>
      <c r="AK187" s="93">
        <f t="shared" si="13"/>
        <v>0</v>
      </c>
    </row>
    <row r="188" spans="2:37" s="111" customFormat="1" thickTop="1" thickBot="1">
      <c r="B188" s="109" t="s">
        <v>73</v>
      </c>
      <c r="C188" s="581" t="s">
        <v>74</v>
      </c>
      <c r="D188" s="581"/>
      <c r="E188" s="581"/>
      <c r="F188" s="581"/>
      <c r="G188" s="581"/>
      <c r="H188" s="110">
        <f>H187</f>
        <v>0</v>
      </c>
      <c r="I188" s="576">
        <f>+I187+J187</f>
        <v>0</v>
      </c>
      <c r="J188" s="577"/>
      <c r="K188" s="110">
        <f>K187</f>
        <v>0</v>
      </c>
      <c r="L188" s="110">
        <f>L187</f>
        <v>0</v>
      </c>
      <c r="M188" s="110">
        <f>M187</f>
        <v>0</v>
      </c>
      <c r="N188" s="110">
        <f>N187</f>
        <v>0</v>
      </c>
      <c r="O188" s="110">
        <f>O187</f>
        <v>0</v>
      </c>
      <c r="P188" s="576">
        <f>+P187+Q187+R187+S187+T187+U187+V187</f>
        <v>0</v>
      </c>
      <c r="Q188" s="583"/>
      <c r="R188" s="583"/>
      <c r="S188" s="583"/>
      <c r="T188" s="583"/>
      <c r="U188" s="583"/>
      <c r="V188" s="577"/>
      <c r="W188" s="576">
        <f>+W187+X187+Y187</f>
        <v>0</v>
      </c>
      <c r="X188" s="583"/>
      <c r="Y188" s="577"/>
      <c r="Z188" s="110">
        <f>Z187</f>
        <v>0</v>
      </c>
      <c r="AA188" s="110">
        <f>AA187</f>
        <v>0</v>
      </c>
      <c r="AB188" s="110">
        <f>AB187</f>
        <v>0</v>
      </c>
      <c r="AC188" s="576">
        <f>+AC187+AD187+AE187</f>
        <v>0</v>
      </c>
      <c r="AD188" s="583"/>
      <c r="AE188" s="577"/>
      <c r="AF188" s="110">
        <f t="shared" ref="AF188:AK188" si="14">AF187</f>
        <v>0</v>
      </c>
      <c r="AG188" s="110">
        <f t="shared" si="14"/>
        <v>0</v>
      </c>
      <c r="AH188" s="110">
        <f t="shared" si="14"/>
        <v>0</v>
      </c>
      <c r="AI188" s="110">
        <f t="shared" si="14"/>
        <v>0</v>
      </c>
      <c r="AJ188" s="110">
        <f t="shared" si="14"/>
        <v>0</v>
      </c>
      <c r="AK188" s="110">
        <f t="shared" si="14"/>
        <v>0</v>
      </c>
    </row>
    <row r="189" spans="2:37" s="83" customFormat="1" ht="16.5" hidden="1" thickTop="1">
      <c r="B189" s="79" t="s">
        <v>65</v>
      </c>
      <c r="C189" s="82"/>
      <c r="D189" s="81"/>
      <c r="E189" s="81"/>
      <c r="F189" s="81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75"/>
      <c r="AA189" s="75"/>
      <c r="AB189" s="75"/>
      <c r="AC189" s="75"/>
      <c r="AD189" s="166"/>
      <c r="AE189" s="166"/>
      <c r="AF189" s="166"/>
      <c r="AG189" s="166"/>
      <c r="AH189" s="166"/>
      <c r="AI189" s="166"/>
      <c r="AJ189" s="76">
        <f t="shared" ref="AJ189:AJ215" si="15">SUM(H189:AI189)</f>
        <v>0</v>
      </c>
      <c r="AK189" s="574">
        <f>SUM(AJ189:AJ339)</f>
        <v>0</v>
      </c>
    </row>
    <row r="190" spans="2:37" s="83" customFormat="1" hidden="1">
      <c r="B190" s="79" t="s">
        <v>65</v>
      </c>
      <c r="C190" s="82"/>
      <c r="D190" s="81"/>
      <c r="E190" s="81"/>
      <c r="F190" s="81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75"/>
      <c r="AA190" s="75"/>
      <c r="AB190" s="75"/>
      <c r="AC190" s="75"/>
      <c r="AD190" s="166"/>
      <c r="AE190" s="166"/>
      <c r="AF190" s="166"/>
      <c r="AG190" s="166"/>
      <c r="AH190" s="166"/>
      <c r="AI190" s="166"/>
      <c r="AJ190" s="76">
        <f t="shared" si="15"/>
        <v>0</v>
      </c>
      <c r="AK190" s="562"/>
    </row>
    <row r="191" spans="2:37" s="83" customFormat="1" hidden="1">
      <c r="B191" s="79" t="s">
        <v>65</v>
      </c>
      <c r="C191" s="82"/>
      <c r="D191" s="81"/>
      <c r="E191" s="81"/>
      <c r="F191" s="81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75"/>
      <c r="AA191" s="75"/>
      <c r="AB191" s="75"/>
      <c r="AC191" s="75"/>
      <c r="AD191" s="166"/>
      <c r="AE191" s="166"/>
      <c r="AF191" s="166"/>
      <c r="AG191" s="166"/>
      <c r="AH191" s="166"/>
      <c r="AI191" s="166"/>
      <c r="AJ191" s="76">
        <f t="shared" si="15"/>
        <v>0</v>
      </c>
      <c r="AK191" s="562"/>
    </row>
    <row r="192" spans="2:37" s="83" customFormat="1" hidden="1">
      <c r="B192" s="79" t="s">
        <v>65</v>
      </c>
      <c r="C192" s="82"/>
      <c r="D192" s="81"/>
      <c r="E192" s="81"/>
      <c r="F192" s="81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75"/>
      <c r="AA192" s="75"/>
      <c r="AB192" s="75"/>
      <c r="AC192" s="75"/>
      <c r="AD192" s="166"/>
      <c r="AE192" s="166"/>
      <c r="AF192" s="166"/>
      <c r="AG192" s="166"/>
      <c r="AH192" s="166"/>
      <c r="AI192" s="166"/>
      <c r="AJ192" s="76">
        <f t="shared" si="15"/>
        <v>0</v>
      </c>
      <c r="AK192" s="562"/>
    </row>
    <row r="193" spans="2:37" s="83" customFormat="1" hidden="1">
      <c r="B193" s="79" t="s">
        <v>65</v>
      </c>
      <c r="C193" s="82"/>
      <c r="D193" s="81"/>
      <c r="E193" s="81"/>
      <c r="F193" s="81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75"/>
      <c r="AA193" s="75"/>
      <c r="AB193" s="75"/>
      <c r="AC193" s="75"/>
      <c r="AD193" s="166"/>
      <c r="AE193" s="166"/>
      <c r="AF193" s="166"/>
      <c r="AG193" s="166"/>
      <c r="AH193" s="166"/>
      <c r="AI193" s="166"/>
      <c r="AJ193" s="76">
        <f t="shared" si="15"/>
        <v>0</v>
      </c>
      <c r="AK193" s="562"/>
    </row>
    <row r="194" spans="2:37" s="83" customFormat="1" hidden="1">
      <c r="B194" s="79" t="s">
        <v>65</v>
      </c>
      <c r="C194" s="82"/>
      <c r="D194" s="81"/>
      <c r="E194" s="81"/>
      <c r="F194" s="81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75"/>
      <c r="AA194" s="75"/>
      <c r="AB194" s="75"/>
      <c r="AC194" s="75"/>
      <c r="AD194" s="166"/>
      <c r="AE194" s="166"/>
      <c r="AF194" s="166"/>
      <c r="AG194" s="166"/>
      <c r="AH194" s="166"/>
      <c r="AI194" s="166"/>
      <c r="AJ194" s="76">
        <f t="shared" si="15"/>
        <v>0</v>
      </c>
      <c r="AK194" s="562"/>
    </row>
    <row r="195" spans="2:37" s="83" customFormat="1" hidden="1">
      <c r="B195" s="79" t="s">
        <v>65</v>
      </c>
      <c r="C195" s="82"/>
      <c r="D195" s="81"/>
      <c r="E195" s="81"/>
      <c r="F195" s="81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75"/>
      <c r="AA195" s="75"/>
      <c r="AB195" s="75"/>
      <c r="AC195" s="75"/>
      <c r="AD195" s="166"/>
      <c r="AE195" s="166"/>
      <c r="AF195" s="166"/>
      <c r="AG195" s="166"/>
      <c r="AH195" s="166"/>
      <c r="AI195" s="166"/>
      <c r="AJ195" s="76">
        <f t="shared" si="15"/>
        <v>0</v>
      </c>
      <c r="AK195" s="562"/>
    </row>
    <row r="196" spans="2:37" s="83" customFormat="1" hidden="1">
      <c r="B196" s="79" t="s">
        <v>65</v>
      </c>
      <c r="C196" s="82"/>
      <c r="D196" s="81"/>
      <c r="E196" s="81"/>
      <c r="F196" s="81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75"/>
      <c r="AA196" s="75"/>
      <c r="AB196" s="75"/>
      <c r="AC196" s="75"/>
      <c r="AD196" s="166"/>
      <c r="AE196" s="166"/>
      <c r="AF196" s="166"/>
      <c r="AG196" s="166"/>
      <c r="AH196" s="166"/>
      <c r="AI196" s="166"/>
      <c r="AJ196" s="76">
        <f t="shared" si="15"/>
        <v>0</v>
      </c>
      <c r="AK196" s="562"/>
    </row>
    <row r="197" spans="2:37" s="83" customFormat="1" hidden="1">
      <c r="B197" s="79" t="s">
        <v>65</v>
      </c>
      <c r="C197" s="82"/>
      <c r="D197" s="81"/>
      <c r="E197" s="81"/>
      <c r="F197" s="81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75"/>
      <c r="AA197" s="75"/>
      <c r="AB197" s="75"/>
      <c r="AC197" s="75"/>
      <c r="AD197" s="166"/>
      <c r="AE197" s="166"/>
      <c r="AF197" s="166"/>
      <c r="AG197" s="166"/>
      <c r="AH197" s="166"/>
      <c r="AI197" s="166"/>
      <c r="AJ197" s="76">
        <f t="shared" si="15"/>
        <v>0</v>
      </c>
      <c r="AK197" s="562"/>
    </row>
    <row r="198" spans="2:37" s="83" customFormat="1" hidden="1">
      <c r="B198" s="79" t="s">
        <v>65</v>
      </c>
      <c r="C198" s="82"/>
      <c r="D198" s="81"/>
      <c r="E198" s="81"/>
      <c r="F198" s="81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75"/>
      <c r="AA198" s="75"/>
      <c r="AB198" s="75"/>
      <c r="AC198" s="75"/>
      <c r="AD198" s="166"/>
      <c r="AE198" s="166"/>
      <c r="AF198" s="166"/>
      <c r="AG198" s="166"/>
      <c r="AH198" s="166"/>
      <c r="AI198" s="166"/>
      <c r="AJ198" s="76">
        <f t="shared" si="15"/>
        <v>0</v>
      </c>
      <c r="AK198" s="562"/>
    </row>
    <row r="199" spans="2:37" s="83" customFormat="1" hidden="1">
      <c r="B199" s="79" t="s">
        <v>65</v>
      </c>
      <c r="C199" s="82"/>
      <c r="D199" s="81"/>
      <c r="E199" s="81"/>
      <c r="F199" s="81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75"/>
      <c r="AA199" s="75"/>
      <c r="AB199" s="75"/>
      <c r="AC199" s="75"/>
      <c r="AD199" s="166"/>
      <c r="AE199" s="166"/>
      <c r="AF199" s="166"/>
      <c r="AG199" s="166"/>
      <c r="AH199" s="166"/>
      <c r="AI199" s="166"/>
      <c r="AJ199" s="76">
        <f t="shared" si="15"/>
        <v>0</v>
      </c>
      <c r="AK199" s="562"/>
    </row>
    <row r="200" spans="2:37" s="83" customFormat="1" hidden="1">
      <c r="B200" s="79" t="s">
        <v>65</v>
      </c>
      <c r="C200" s="82"/>
      <c r="D200" s="81"/>
      <c r="E200" s="81"/>
      <c r="F200" s="81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75"/>
      <c r="AA200" s="75"/>
      <c r="AB200" s="75"/>
      <c r="AC200" s="75"/>
      <c r="AD200" s="166"/>
      <c r="AE200" s="166"/>
      <c r="AF200" s="166"/>
      <c r="AG200" s="166"/>
      <c r="AH200" s="166"/>
      <c r="AI200" s="166"/>
      <c r="AJ200" s="76">
        <f t="shared" si="15"/>
        <v>0</v>
      </c>
      <c r="AK200" s="562"/>
    </row>
    <row r="201" spans="2:37" s="83" customFormat="1" hidden="1">
      <c r="B201" s="79" t="s">
        <v>65</v>
      </c>
      <c r="C201" s="82"/>
      <c r="D201" s="81"/>
      <c r="E201" s="81"/>
      <c r="F201" s="81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75"/>
      <c r="AA201" s="75"/>
      <c r="AB201" s="75"/>
      <c r="AC201" s="75"/>
      <c r="AD201" s="166"/>
      <c r="AE201" s="166"/>
      <c r="AF201" s="166"/>
      <c r="AG201" s="166"/>
      <c r="AH201" s="166"/>
      <c r="AI201" s="166"/>
      <c r="AJ201" s="76">
        <f t="shared" si="15"/>
        <v>0</v>
      </c>
      <c r="AK201" s="562"/>
    </row>
    <row r="202" spans="2:37" s="83" customFormat="1" hidden="1">
      <c r="B202" s="79" t="s">
        <v>65</v>
      </c>
      <c r="C202" s="82"/>
      <c r="D202" s="81"/>
      <c r="E202" s="81"/>
      <c r="F202" s="81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75"/>
      <c r="AA202" s="75"/>
      <c r="AB202" s="75"/>
      <c r="AC202" s="75"/>
      <c r="AD202" s="166"/>
      <c r="AE202" s="166"/>
      <c r="AF202" s="166"/>
      <c r="AG202" s="166"/>
      <c r="AH202" s="166"/>
      <c r="AI202" s="166"/>
      <c r="AJ202" s="76">
        <f t="shared" si="15"/>
        <v>0</v>
      </c>
      <c r="AK202" s="562"/>
    </row>
    <row r="203" spans="2:37" s="83" customFormat="1" hidden="1">
      <c r="B203" s="79" t="s">
        <v>65</v>
      </c>
      <c r="C203" s="82"/>
      <c r="D203" s="81"/>
      <c r="E203" s="81"/>
      <c r="F203" s="81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75"/>
      <c r="AA203" s="75"/>
      <c r="AB203" s="75"/>
      <c r="AC203" s="75"/>
      <c r="AD203" s="166"/>
      <c r="AE203" s="166"/>
      <c r="AF203" s="166"/>
      <c r="AG203" s="166"/>
      <c r="AH203" s="166"/>
      <c r="AI203" s="166"/>
      <c r="AJ203" s="76">
        <f t="shared" si="15"/>
        <v>0</v>
      </c>
      <c r="AK203" s="562"/>
    </row>
    <row r="204" spans="2:37" s="83" customFormat="1" hidden="1">
      <c r="B204" s="79" t="s">
        <v>65</v>
      </c>
      <c r="C204" s="82"/>
      <c r="D204" s="81"/>
      <c r="E204" s="81"/>
      <c r="F204" s="81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75"/>
      <c r="AA204" s="75"/>
      <c r="AB204" s="75"/>
      <c r="AC204" s="75"/>
      <c r="AD204" s="166"/>
      <c r="AE204" s="166"/>
      <c r="AF204" s="166"/>
      <c r="AG204" s="166"/>
      <c r="AH204" s="166"/>
      <c r="AI204" s="166"/>
      <c r="AJ204" s="76">
        <f t="shared" si="15"/>
        <v>0</v>
      </c>
      <c r="AK204" s="562"/>
    </row>
    <row r="205" spans="2:37" s="83" customFormat="1" hidden="1">
      <c r="B205" s="79" t="s">
        <v>65</v>
      </c>
      <c r="C205" s="82"/>
      <c r="D205" s="81"/>
      <c r="E205" s="81"/>
      <c r="F205" s="81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75"/>
      <c r="AA205" s="75"/>
      <c r="AB205" s="75"/>
      <c r="AC205" s="75"/>
      <c r="AD205" s="166"/>
      <c r="AE205" s="166"/>
      <c r="AF205" s="166"/>
      <c r="AG205" s="166"/>
      <c r="AH205" s="166"/>
      <c r="AI205" s="166"/>
      <c r="AJ205" s="76">
        <f t="shared" si="15"/>
        <v>0</v>
      </c>
      <c r="AK205" s="562"/>
    </row>
    <row r="206" spans="2:37" s="83" customFormat="1" hidden="1">
      <c r="B206" s="79" t="s">
        <v>65</v>
      </c>
      <c r="C206" s="82"/>
      <c r="D206" s="81"/>
      <c r="E206" s="81"/>
      <c r="F206" s="81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75"/>
      <c r="AA206" s="75"/>
      <c r="AB206" s="75"/>
      <c r="AC206" s="75"/>
      <c r="AD206" s="166"/>
      <c r="AE206" s="166"/>
      <c r="AF206" s="166"/>
      <c r="AG206" s="166"/>
      <c r="AH206" s="166"/>
      <c r="AI206" s="166"/>
      <c r="AJ206" s="76">
        <f t="shared" si="15"/>
        <v>0</v>
      </c>
      <c r="AK206" s="562"/>
    </row>
    <row r="207" spans="2:37" s="83" customFormat="1" hidden="1">
      <c r="B207" s="79" t="s">
        <v>65</v>
      </c>
      <c r="C207" s="82"/>
      <c r="D207" s="81"/>
      <c r="E207" s="81"/>
      <c r="F207" s="81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75"/>
      <c r="AA207" s="75"/>
      <c r="AB207" s="75"/>
      <c r="AC207" s="75"/>
      <c r="AD207" s="166"/>
      <c r="AE207" s="166"/>
      <c r="AF207" s="166"/>
      <c r="AG207" s="166"/>
      <c r="AH207" s="166"/>
      <c r="AI207" s="166"/>
      <c r="AJ207" s="76">
        <f t="shared" si="15"/>
        <v>0</v>
      </c>
      <c r="AK207" s="562"/>
    </row>
    <row r="208" spans="2:37" s="83" customFormat="1" hidden="1">
      <c r="B208" s="79" t="s">
        <v>65</v>
      </c>
      <c r="C208" s="82"/>
      <c r="D208" s="81"/>
      <c r="E208" s="81"/>
      <c r="F208" s="81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75"/>
      <c r="AA208" s="75"/>
      <c r="AB208" s="75"/>
      <c r="AC208" s="75"/>
      <c r="AD208" s="166"/>
      <c r="AE208" s="166"/>
      <c r="AF208" s="166"/>
      <c r="AG208" s="166"/>
      <c r="AH208" s="166"/>
      <c r="AI208" s="166"/>
      <c r="AJ208" s="76">
        <f t="shared" si="15"/>
        <v>0</v>
      </c>
      <c r="AK208" s="562"/>
    </row>
    <row r="209" spans="2:37" s="83" customFormat="1" hidden="1">
      <c r="B209" s="79" t="s">
        <v>65</v>
      </c>
      <c r="C209" s="82"/>
      <c r="D209" s="81"/>
      <c r="E209" s="81"/>
      <c r="F209" s="81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75"/>
      <c r="AA209" s="75"/>
      <c r="AB209" s="75"/>
      <c r="AC209" s="75"/>
      <c r="AD209" s="166"/>
      <c r="AE209" s="166"/>
      <c r="AF209" s="166"/>
      <c r="AG209" s="166"/>
      <c r="AH209" s="166"/>
      <c r="AI209" s="166"/>
      <c r="AJ209" s="76">
        <f t="shared" si="15"/>
        <v>0</v>
      </c>
      <c r="AK209" s="562"/>
    </row>
    <row r="210" spans="2:37" s="83" customFormat="1" hidden="1">
      <c r="B210" s="79" t="s">
        <v>65</v>
      </c>
      <c r="C210" s="82"/>
      <c r="D210" s="81"/>
      <c r="E210" s="81"/>
      <c r="F210" s="81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75"/>
      <c r="AA210" s="75"/>
      <c r="AB210" s="75"/>
      <c r="AC210" s="75"/>
      <c r="AD210" s="166"/>
      <c r="AE210" s="166"/>
      <c r="AF210" s="166"/>
      <c r="AG210" s="166"/>
      <c r="AH210" s="166"/>
      <c r="AI210" s="166"/>
      <c r="AJ210" s="76">
        <f t="shared" si="15"/>
        <v>0</v>
      </c>
      <c r="AK210" s="562"/>
    </row>
    <row r="211" spans="2:37" s="83" customFormat="1" hidden="1">
      <c r="B211" s="79" t="s">
        <v>65</v>
      </c>
      <c r="C211" s="82"/>
      <c r="D211" s="81"/>
      <c r="E211" s="81"/>
      <c r="F211" s="81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75"/>
      <c r="AA211" s="75"/>
      <c r="AB211" s="75"/>
      <c r="AC211" s="75"/>
      <c r="AD211" s="166"/>
      <c r="AE211" s="166"/>
      <c r="AF211" s="166"/>
      <c r="AG211" s="166"/>
      <c r="AH211" s="166"/>
      <c r="AI211" s="166"/>
      <c r="AJ211" s="76">
        <f t="shared" si="15"/>
        <v>0</v>
      </c>
      <c r="AK211" s="562"/>
    </row>
    <row r="212" spans="2:37" s="83" customFormat="1" hidden="1">
      <c r="B212" s="79" t="s">
        <v>65</v>
      </c>
      <c r="C212" s="82"/>
      <c r="D212" s="81"/>
      <c r="E212" s="81"/>
      <c r="F212" s="81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75"/>
      <c r="AA212" s="75"/>
      <c r="AB212" s="75"/>
      <c r="AC212" s="75"/>
      <c r="AD212" s="166"/>
      <c r="AE212" s="166"/>
      <c r="AF212" s="166"/>
      <c r="AG212" s="166"/>
      <c r="AH212" s="166"/>
      <c r="AI212" s="166"/>
      <c r="AJ212" s="76">
        <f t="shared" si="15"/>
        <v>0</v>
      </c>
      <c r="AK212" s="562"/>
    </row>
    <row r="213" spans="2:37" s="83" customFormat="1" hidden="1">
      <c r="B213" s="79" t="s">
        <v>65</v>
      </c>
      <c r="C213" s="82"/>
      <c r="D213" s="81"/>
      <c r="E213" s="81"/>
      <c r="F213" s="81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75"/>
      <c r="AA213" s="75"/>
      <c r="AB213" s="75"/>
      <c r="AC213" s="75"/>
      <c r="AD213" s="166"/>
      <c r="AE213" s="166"/>
      <c r="AF213" s="166"/>
      <c r="AG213" s="166"/>
      <c r="AH213" s="166"/>
      <c r="AI213" s="166"/>
      <c r="AJ213" s="76">
        <f t="shared" si="15"/>
        <v>0</v>
      </c>
      <c r="AK213" s="562"/>
    </row>
    <row r="214" spans="2:37" s="83" customFormat="1" hidden="1">
      <c r="B214" s="79" t="s">
        <v>65</v>
      </c>
      <c r="C214" s="82"/>
      <c r="D214" s="81"/>
      <c r="E214" s="81"/>
      <c r="F214" s="81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75"/>
      <c r="AA214" s="75"/>
      <c r="AB214" s="75"/>
      <c r="AC214" s="75"/>
      <c r="AD214" s="166"/>
      <c r="AE214" s="166"/>
      <c r="AF214" s="166"/>
      <c r="AG214" s="166"/>
      <c r="AH214" s="166"/>
      <c r="AI214" s="166"/>
      <c r="AJ214" s="76">
        <f t="shared" si="15"/>
        <v>0</v>
      </c>
      <c r="AK214" s="562"/>
    </row>
    <row r="215" spans="2:37" s="83" customFormat="1" hidden="1">
      <c r="B215" s="79" t="s">
        <v>65</v>
      </c>
      <c r="C215" s="82"/>
      <c r="D215" s="81"/>
      <c r="E215" s="81"/>
      <c r="F215" s="81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75"/>
      <c r="AA215" s="75"/>
      <c r="AB215" s="75"/>
      <c r="AC215" s="75"/>
      <c r="AD215" s="166"/>
      <c r="AE215" s="166"/>
      <c r="AF215" s="166"/>
      <c r="AG215" s="166"/>
      <c r="AH215" s="166"/>
      <c r="AI215" s="166"/>
      <c r="AJ215" s="76">
        <f t="shared" si="15"/>
        <v>0</v>
      </c>
      <c r="AK215" s="562"/>
    </row>
    <row r="216" spans="2:37" s="83" customFormat="1" hidden="1">
      <c r="B216" s="79" t="s">
        <v>65</v>
      </c>
      <c r="C216" s="82"/>
      <c r="D216" s="81"/>
      <c r="E216" s="81"/>
      <c r="F216" s="81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75"/>
      <c r="AA216" s="75"/>
      <c r="AB216" s="75"/>
      <c r="AC216" s="75"/>
      <c r="AD216" s="166"/>
      <c r="AE216" s="166"/>
      <c r="AF216" s="166"/>
      <c r="AG216" s="166"/>
      <c r="AH216" s="166"/>
      <c r="AI216" s="166"/>
      <c r="AJ216" s="76">
        <f t="shared" ref="AJ216:AJ227" si="16">SUM(H216:AI216)</f>
        <v>0</v>
      </c>
      <c r="AK216" s="562"/>
    </row>
    <row r="217" spans="2:37" s="83" customFormat="1" hidden="1">
      <c r="B217" s="79" t="s">
        <v>65</v>
      </c>
      <c r="C217" s="82"/>
      <c r="D217" s="81"/>
      <c r="E217" s="81"/>
      <c r="F217" s="81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75"/>
      <c r="AA217" s="75"/>
      <c r="AB217" s="75"/>
      <c r="AC217" s="75"/>
      <c r="AD217" s="166"/>
      <c r="AE217" s="166"/>
      <c r="AF217" s="166"/>
      <c r="AG217" s="166"/>
      <c r="AH217" s="166"/>
      <c r="AI217" s="166"/>
      <c r="AJ217" s="76">
        <f t="shared" si="16"/>
        <v>0</v>
      </c>
      <c r="AK217" s="562"/>
    </row>
    <row r="218" spans="2:37" s="83" customFormat="1" hidden="1">
      <c r="B218" s="79" t="s">
        <v>65</v>
      </c>
      <c r="C218" s="82"/>
      <c r="D218" s="81"/>
      <c r="E218" s="81"/>
      <c r="F218" s="81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75"/>
      <c r="AA218" s="75"/>
      <c r="AB218" s="75"/>
      <c r="AC218" s="75"/>
      <c r="AD218" s="166"/>
      <c r="AE218" s="166"/>
      <c r="AF218" s="166"/>
      <c r="AG218" s="166"/>
      <c r="AH218" s="166"/>
      <c r="AI218" s="166"/>
      <c r="AJ218" s="76">
        <f t="shared" si="16"/>
        <v>0</v>
      </c>
      <c r="AK218" s="562"/>
    </row>
    <row r="219" spans="2:37" s="83" customFormat="1" hidden="1">
      <c r="B219" s="79" t="s">
        <v>65</v>
      </c>
      <c r="C219" s="82"/>
      <c r="D219" s="81"/>
      <c r="E219" s="81"/>
      <c r="F219" s="81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75"/>
      <c r="AA219" s="75"/>
      <c r="AB219" s="75"/>
      <c r="AC219" s="75"/>
      <c r="AD219" s="166"/>
      <c r="AE219" s="166"/>
      <c r="AF219" s="166"/>
      <c r="AG219" s="166"/>
      <c r="AH219" s="166"/>
      <c r="AI219" s="166"/>
      <c r="AJ219" s="76">
        <f t="shared" si="16"/>
        <v>0</v>
      </c>
      <c r="AK219" s="562"/>
    </row>
    <row r="220" spans="2:37" s="83" customFormat="1" hidden="1">
      <c r="B220" s="79" t="s">
        <v>65</v>
      </c>
      <c r="C220" s="82"/>
      <c r="D220" s="81"/>
      <c r="E220" s="81"/>
      <c r="F220" s="81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75"/>
      <c r="AA220" s="75"/>
      <c r="AB220" s="75"/>
      <c r="AC220" s="75"/>
      <c r="AD220" s="166"/>
      <c r="AE220" s="166"/>
      <c r="AF220" s="166"/>
      <c r="AG220" s="166"/>
      <c r="AH220" s="166"/>
      <c r="AI220" s="166"/>
      <c r="AJ220" s="76">
        <f t="shared" si="16"/>
        <v>0</v>
      </c>
      <c r="AK220" s="562"/>
    </row>
    <row r="221" spans="2:37" s="83" customFormat="1" hidden="1">
      <c r="B221" s="79" t="s">
        <v>65</v>
      </c>
      <c r="C221" s="82"/>
      <c r="D221" s="81"/>
      <c r="E221" s="81"/>
      <c r="F221" s="81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75"/>
      <c r="AA221" s="75"/>
      <c r="AB221" s="75"/>
      <c r="AC221" s="75"/>
      <c r="AD221" s="166"/>
      <c r="AE221" s="166"/>
      <c r="AF221" s="166"/>
      <c r="AG221" s="166"/>
      <c r="AH221" s="166"/>
      <c r="AI221" s="166"/>
      <c r="AJ221" s="76">
        <f>SUM(H221:AI221)</f>
        <v>0</v>
      </c>
      <c r="AK221" s="562"/>
    </row>
    <row r="222" spans="2:37" s="83" customFormat="1" hidden="1">
      <c r="B222" s="79" t="s">
        <v>65</v>
      </c>
      <c r="C222" s="82"/>
      <c r="D222" s="81"/>
      <c r="E222" s="81"/>
      <c r="F222" s="81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75"/>
      <c r="AA222" s="75"/>
      <c r="AB222" s="75"/>
      <c r="AC222" s="75"/>
      <c r="AD222" s="166"/>
      <c r="AE222" s="166"/>
      <c r="AF222" s="166"/>
      <c r="AG222" s="166"/>
      <c r="AH222" s="166"/>
      <c r="AI222" s="166"/>
      <c r="AJ222" s="76">
        <f>SUM(H222:AI222)</f>
        <v>0</v>
      </c>
      <c r="AK222" s="562"/>
    </row>
    <row r="223" spans="2:37" s="83" customFormat="1" hidden="1">
      <c r="B223" s="79" t="s">
        <v>65</v>
      </c>
      <c r="C223" s="82"/>
      <c r="D223" s="81"/>
      <c r="E223" s="81"/>
      <c r="F223" s="81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75"/>
      <c r="AA223" s="75"/>
      <c r="AB223" s="75"/>
      <c r="AC223" s="75"/>
      <c r="AD223" s="166"/>
      <c r="AE223" s="166"/>
      <c r="AF223" s="166"/>
      <c r="AG223" s="166"/>
      <c r="AH223" s="166"/>
      <c r="AI223" s="166"/>
      <c r="AJ223" s="76">
        <f t="shared" si="16"/>
        <v>0</v>
      </c>
      <c r="AK223" s="562"/>
    </row>
    <row r="224" spans="2:37" s="83" customFormat="1" hidden="1">
      <c r="B224" s="79" t="s">
        <v>65</v>
      </c>
      <c r="C224" s="82"/>
      <c r="D224" s="81"/>
      <c r="E224" s="81"/>
      <c r="F224" s="81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75"/>
      <c r="AA224" s="75"/>
      <c r="AB224" s="75"/>
      <c r="AC224" s="75"/>
      <c r="AD224" s="166"/>
      <c r="AE224" s="166"/>
      <c r="AF224" s="166"/>
      <c r="AG224" s="166"/>
      <c r="AH224" s="166"/>
      <c r="AI224" s="166"/>
      <c r="AJ224" s="76">
        <f t="shared" si="16"/>
        <v>0</v>
      </c>
      <c r="AK224" s="562"/>
    </row>
    <row r="225" spans="2:37" s="83" customFormat="1" hidden="1">
      <c r="B225" s="79" t="s">
        <v>65</v>
      </c>
      <c r="C225" s="82"/>
      <c r="D225" s="81"/>
      <c r="E225" s="81"/>
      <c r="F225" s="81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75"/>
      <c r="AA225" s="75"/>
      <c r="AB225" s="75"/>
      <c r="AC225" s="75"/>
      <c r="AD225" s="166"/>
      <c r="AE225" s="166"/>
      <c r="AF225" s="166"/>
      <c r="AG225" s="166"/>
      <c r="AH225" s="166"/>
      <c r="AI225" s="166"/>
      <c r="AJ225" s="76">
        <f t="shared" si="16"/>
        <v>0</v>
      </c>
      <c r="AK225" s="562"/>
    </row>
    <row r="226" spans="2:37" s="83" customFormat="1" hidden="1">
      <c r="B226" s="79" t="s">
        <v>65</v>
      </c>
      <c r="C226" s="82"/>
      <c r="D226" s="81"/>
      <c r="E226" s="81"/>
      <c r="F226" s="81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75"/>
      <c r="AA226" s="75"/>
      <c r="AB226" s="75"/>
      <c r="AC226" s="75"/>
      <c r="AD226" s="166"/>
      <c r="AE226" s="166"/>
      <c r="AF226" s="166"/>
      <c r="AG226" s="166"/>
      <c r="AH226" s="166"/>
      <c r="AI226" s="166"/>
      <c r="AJ226" s="76">
        <f t="shared" si="16"/>
        <v>0</v>
      </c>
      <c r="AK226" s="562"/>
    </row>
    <row r="227" spans="2:37" s="83" customFormat="1" hidden="1">
      <c r="B227" s="79" t="s">
        <v>65</v>
      </c>
      <c r="C227" s="82"/>
      <c r="D227" s="81"/>
      <c r="E227" s="81"/>
      <c r="F227" s="81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75"/>
      <c r="AA227" s="75"/>
      <c r="AB227" s="75"/>
      <c r="AC227" s="75"/>
      <c r="AD227" s="166"/>
      <c r="AE227" s="166"/>
      <c r="AF227" s="166"/>
      <c r="AG227" s="166"/>
      <c r="AH227" s="166"/>
      <c r="AI227" s="166"/>
      <c r="AJ227" s="76">
        <f t="shared" si="16"/>
        <v>0</v>
      </c>
      <c r="AK227" s="562"/>
    </row>
    <row r="228" spans="2:37" s="83" customFormat="1" hidden="1">
      <c r="B228" s="79" t="s">
        <v>65</v>
      </c>
      <c r="C228" s="82"/>
      <c r="D228" s="81"/>
      <c r="E228" s="81"/>
      <c r="F228" s="81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75"/>
      <c r="AA228" s="75"/>
      <c r="AB228" s="75"/>
      <c r="AC228" s="75"/>
      <c r="AD228" s="166"/>
      <c r="AE228" s="166"/>
      <c r="AF228" s="166"/>
      <c r="AG228" s="166"/>
      <c r="AH228" s="166"/>
      <c r="AI228" s="166"/>
      <c r="AJ228" s="76">
        <f>SUM(H228:AI228)</f>
        <v>0</v>
      </c>
      <c r="AK228" s="562"/>
    </row>
    <row r="229" spans="2:37" s="83" customFormat="1" hidden="1">
      <c r="B229" s="79" t="s">
        <v>65</v>
      </c>
      <c r="C229" s="82"/>
      <c r="D229" s="81"/>
      <c r="E229" s="81"/>
      <c r="F229" s="81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75"/>
      <c r="AA229" s="75"/>
      <c r="AB229" s="75"/>
      <c r="AC229" s="75"/>
      <c r="AD229" s="166"/>
      <c r="AE229" s="166"/>
      <c r="AF229" s="166"/>
      <c r="AG229" s="166"/>
      <c r="AH229" s="166"/>
      <c r="AI229" s="166"/>
      <c r="AJ229" s="76">
        <f t="shared" ref="AJ229:AJ240" si="17">SUM(H229:AI229)</f>
        <v>0</v>
      </c>
      <c r="AK229" s="562"/>
    </row>
    <row r="230" spans="2:37" s="83" customFormat="1" hidden="1">
      <c r="B230" s="79" t="s">
        <v>65</v>
      </c>
      <c r="C230" s="82"/>
      <c r="D230" s="81"/>
      <c r="E230" s="81"/>
      <c r="F230" s="81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75"/>
      <c r="AA230" s="75"/>
      <c r="AB230" s="75"/>
      <c r="AC230" s="75"/>
      <c r="AD230" s="166"/>
      <c r="AE230" s="166"/>
      <c r="AF230" s="166"/>
      <c r="AG230" s="166"/>
      <c r="AH230" s="166"/>
      <c r="AI230" s="166"/>
      <c r="AJ230" s="76">
        <f t="shared" si="17"/>
        <v>0</v>
      </c>
      <c r="AK230" s="562"/>
    </row>
    <row r="231" spans="2:37" s="83" customFormat="1" hidden="1">
      <c r="B231" s="79" t="s">
        <v>65</v>
      </c>
      <c r="C231" s="82"/>
      <c r="D231" s="81"/>
      <c r="E231" s="81"/>
      <c r="F231" s="81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75"/>
      <c r="AA231" s="75"/>
      <c r="AB231" s="75"/>
      <c r="AC231" s="75"/>
      <c r="AD231" s="166"/>
      <c r="AE231" s="166"/>
      <c r="AF231" s="166"/>
      <c r="AG231" s="166"/>
      <c r="AH231" s="166"/>
      <c r="AI231" s="166"/>
      <c r="AJ231" s="76">
        <f>SUM(H231:AI231)</f>
        <v>0</v>
      </c>
      <c r="AK231" s="562"/>
    </row>
    <row r="232" spans="2:37" s="83" customFormat="1" hidden="1">
      <c r="B232" s="79" t="s">
        <v>65</v>
      </c>
      <c r="C232" s="82"/>
      <c r="D232" s="81"/>
      <c r="E232" s="81"/>
      <c r="F232" s="81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75"/>
      <c r="AA232" s="75"/>
      <c r="AB232" s="75"/>
      <c r="AC232" s="75"/>
      <c r="AD232" s="166"/>
      <c r="AE232" s="166"/>
      <c r="AF232" s="166"/>
      <c r="AG232" s="166"/>
      <c r="AH232" s="166"/>
      <c r="AI232" s="166"/>
      <c r="AJ232" s="76">
        <f t="shared" si="17"/>
        <v>0</v>
      </c>
      <c r="AK232" s="562"/>
    </row>
    <row r="233" spans="2:37" s="83" customFormat="1" hidden="1">
      <c r="B233" s="79" t="s">
        <v>65</v>
      </c>
      <c r="C233" s="82"/>
      <c r="D233" s="81"/>
      <c r="E233" s="81"/>
      <c r="F233" s="81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75"/>
      <c r="AA233" s="75"/>
      <c r="AB233" s="75"/>
      <c r="AC233" s="75"/>
      <c r="AD233" s="166"/>
      <c r="AE233" s="166"/>
      <c r="AF233" s="166"/>
      <c r="AG233" s="166"/>
      <c r="AH233" s="166"/>
      <c r="AI233" s="166"/>
      <c r="AJ233" s="76">
        <f t="shared" si="17"/>
        <v>0</v>
      </c>
      <c r="AK233" s="562"/>
    </row>
    <row r="234" spans="2:37" s="83" customFormat="1" hidden="1">
      <c r="B234" s="79" t="s">
        <v>65</v>
      </c>
      <c r="C234" s="82"/>
      <c r="D234" s="81"/>
      <c r="E234" s="81"/>
      <c r="F234" s="81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75"/>
      <c r="AA234" s="75"/>
      <c r="AB234" s="75"/>
      <c r="AC234" s="75"/>
      <c r="AD234" s="166"/>
      <c r="AE234" s="166"/>
      <c r="AF234" s="166"/>
      <c r="AG234" s="166"/>
      <c r="AH234" s="166"/>
      <c r="AI234" s="166"/>
      <c r="AJ234" s="76">
        <f>SUM(H234:AI234)</f>
        <v>0</v>
      </c>
      <c r="AK234" s="562"/>
    </row>
    <row r="235" spans="2:37" s="83" customFormat="1" hidden="1">
      <c r="B235" s="79" t="s">
        <v>65</v>
      </c>
      <c r="C235" s="82"/>
      <c r="D235" s="81"/>
      <c r="E235" s="81"/>
      <c r="F235" s="81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75"/>
      <c r="AA235" s="75"/>
      <c r="AB235" s="75"/>
      <c r="AC235" s="75"/>
      <c r="AD235" s="166"/>
      <c r="AE235" s="166"/>
      <c r="AF235" s="166"/>
      <c r="AG235" s="166"/>
      <c r="AH235" s="166"/>
      <c r="AI235" s="166"/>
      <c r="AJ235" s="76">
        <f t="shared" si="17"/>
        <v>0</v>
      </c>
      <c r="AK235" s="562"/>
    </row>
    <row r="236" spans="2:37" s="83" customFormat="1" hidden="1">
      <c r="B236" s="79" t="s">
        <v>65</v>
      </c>
      <c r="C236" s="82"/>
      <c r="D236" s="81"/>
      <c r="E236" s="81"/>
      <c r="F236" s="81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75"/>
      <c r="AA236" s="75"/>
      <c r="AB236" s="75"/>
      <c r="AC236" s="75"/>
      <c r="AD236" s="166"/>
      <c r="AE236" s="166"/>
      <c r="AF236" s="166"/>
      <c r="AG236" s="166"/>
      <c r="AH236" s="166"/>
      <c r="AI236" s="166"/>
      <c r="AJ236" s="76">
        <f t="shared" si="17"/>
        <v>0</v>
      </c>
      <c r="AK236" s="562"/>
    </row>
    <row r="237" spans="2:37" s="83" customFormat="1" hidden="1">
      <c r="B237" s="79" t="s">
        <v>65</v>
      </c>
      <c r="C237" s="82"/>
      <c r="D237" s="81"/>
      <c r="E237" s="81"/>
      <c r="F237" s="81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75"/>
      <c r="AA237" s="75"/>
      <c r="AB237" s="75"/>
      <c r="AC237" s="75"/>
      <c r="AD237" s="166"/>
      <c r="AE237" s="166"/>
      <c r="AF237" s="166"/>
      <c r="AG237" s="166"/>
      <c r="AH237" s="166"/>
      <c r="AI237" s="166"/>
      <c r="AJ237" s="76">
        <f t="shared" si="17"/>
        <v>0</v>
      </c>
      <c r="AK237" s="562"/>
    </row>
    <row r="238" spans="2:37" s="83" customFormat="1" hidden="1">
      <c r="B238" s="79" t="s">
        <v>65</v>
      </c>
      <c r="C238" s="82"/>
      <c r="D238" s="81"/>
      <c r="E238" s="81"/>
      <c r="F238" s="81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75"/>
      <c r="AA238" s="75"/>
      <c r="AB238" s="75"/>
      <c r="AC238" s="75"/>
      <c r="AD238" s="166"/>
      <c r="AE238" s="166"/>
      <c r="AF238" s="166"/>
      <c r="AG238" s="166"/>
      <c r="AH238" s="166"/>
      <c r="AI238" s="166"/>
      <c r="AJ238" s="76">
        <f t="shared" si="17"/>
        <v>0</v>
      </c>
      <c r="AK238" s="562"/>
    </row>
    <row r="239" spans="2:37" s="83" customFormat="1" hidden="1">
      <c r="B239" s="79" t="s">
        <v>65</v>
      </c>
      <c r="C239" s="82"/>
      <c r="D239" s="81"/>
      <c r="E239" s="81"/>
      <c r="F239" s="81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75"/>
      <c r="AA239" s="75"/>
      <c r="AB239" s="75"/>
      <c r="AC239" s="75"/>
      <c r="AD239" s="166"/>
      <c r="AE239" s="166"/>
      <c r="AF239" s="166"/>
      <c r="AG239" s="166"/>
      <c r="AH239" s="166"/>
      <c r="AI239" s="166"/>
      <c r="AJ239" s="76">
        <f t="shared" si="17"/>
        <v>0</v>
      </c>
      <c r="AK239" s="562"/>
    </row>
    <row r="240" spans="2:37" s="83" customFormat="1" hidden="1">
      <c r="B240" s="79" t="s">
        <v>65</v>
      </c>
      <c r="C240" s="82"/>
      <c r="D240" s="81"/>
      <c r="E240" s="81"/>
      <c r="F240" s="81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75"/>
      <c r="AA240" s="75"/>
      <c r="AB240" s="75"/>
      <c r="AC240" s="75"/>
      <c r="AD240" s="166"/>
      <c r="AE240" s="166"/>
      <c r="AF240" s="166"/>
      <c r="AG240" s="166"/>
      <c r="AH240" s="166"/>
      <c r="AI240" s="166"/>
      <c r="AJ240" s="76">
        <f t="shared" si="17"/>
        <v>0</v>
      </c>
      <c r="AK240" s="562"/>
    </row>
    <row r="241" spans="2:37" s="83" customFormat="1" hidden="1">
      <c r="B241" s="79" t="s">
        <v>65</v>
      </c>
      <c r="C241" s="82"/>
      <c r="D241" s="81"/>
      <c r="E241" s="81"/>
      <c r="F241" s="81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75"/>
      <c r="AA241" s="75"/>
      <c r="AB241" s="75"/>
      <c r="AC241" s="75"/>
      <c r="AD241" s="166"/>
      <c r="AE241" s="166"/>
      <c r="AF241" s="166"/>
      <c r="AG241" s="166"/>
      <c r="AH241" s="166"/>
      <c r="AI241" s="166"/>
      <c r="AJ241" s="76">
        <f>SUM(H241:AI241)</f>
        <v>0</v>
      </c>
      <c r="AK241" s="562"/>
    </row>
    <row r="242" spans="2:37" s="83" customFormat="1" hidden="1">
      <c r="B242" s="79" t="s">
        <v>65</v>
      </c>
      <c r="C242" s="82"/>
      <c r="D242" s="81"/>
      <c r="E242" s="81"/>
      <c r="F242" s="81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75"/>
      <c r="AA242" s="75"/>
      <c r="AB242" s="75"/>
      <c r="AC242" s="75"/>
      <c r="AD242" s="166"/>
      <c r="AE242" s="166"/>
      <c r="AF242" s="166"/>
      <c r="AG242" s="166"/>
      <c r="AH242" s="166"/>
      <c r="AI242" s="166"/>
      <c r="AJ242" s="76">
        <f t="shared" ref="AJ242:AJ249" si="18">SUM(H242:AI242)</f>
        <v>0</v>
      </c>
      <c r="AK242" s="562"/>
    </row>
    <row r="243" spans="2:37" s="83" customFormat="1" hidden="1">
      <c r="B243" s="79" t="s">
        <v>65</v>
      </c>
      <c r="C243" s="82"/>
      <c r="D243" s="81"/>
      <c r="E243" s="81"/>
      <c r="F243" s="81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75"/>
      <c r="AA243" s="75"/>
      <c r="AB243" s="75"/>
      <c r="AC243" s="75"/>
      <c r="AD243" s="166"/>
      <c r="AE243" s="166"/>
      <c r="AF243" s="166"/>
      <c r="AG243" s="166"/>
      <c r="AH243" s="166"/>
      <c r="AI243" s="166"/>
      <c r="AJ243" s="76">
        <f t="shared" si="18"/>
        <v>0</v>
      </c>
      <c r="AK243" s="562"/>
    </row>
    <row r="244" spans="2:37" s="83" customFormat="1" hidden="1">
      <c r="B244" s="79" t="s">
        <v>65</v>
      </c>
      <c r="C244" s="82"/>
      <c r="D244" s="81"/>
      <c r="E244" s="81"/>
      <c r="F244" s="81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75"/>
      <c r="AA244" s="75"/>
      <c r="AB244" s="75"/>
      <c r="AC244" s="75"/>
      <c r="AD244" s="166"/>
      <c r="AE244" s="166"/>
      <c r="AF244" s="166"/>
      <c r="AG244" s="166"/>
      <c r="AH244" s="166"/>
      <c r="AI244" s="166"/>
      <c r="AJ244" s="76">
        <f t="shared" si="18"/>
        <v>0</v>
      </c>
      <c r="AK244" s="562"/>
    </row>
    <row r="245" spans="2:37" s="83" customFormat="1" hidden="1">
      <c r="B245" s="79" t="s">
        <v>65</v>
      </c>
      <c r="C245" s="82"/>
      <c r="D245" s="81"/>
      <c r="E245" s="81"/>
      <c r="F245" s="81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75"/>
      <c r="AA245" s="75"/>
      <c r="AB245" s="75"/>
      <c r="AC245" s="75"/>
      <c r="AD245" s="166"/>
      <c r="AE245" s="166"/>
      <c r="AF245" s="166"/>
      <c r="AG245" s="166"/>
      <c r="AH245" s="166"/>
      <c r="AI245" s="166"/>
      <c r="AJ245" s="76">
        <f>SUM(H245:AI245)</f>
        <v>0</v>
      </c>
      <c r="AK245" s="562"/>
    </row>
    <row r="246" spans="2:37" s="83" customFormat="1" hidden="1">
      <c r="B246" s="79" t="s">
        <v>65</v>
      </c>
      <c r="C246" s="82"/>
      <c r="D246" s="81"/>
      <c r="E246" s="81"/>
      <c r="F246" s="81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75"/>
      <c r="AA246" s="75"/>
      <c r="AB246" s="75"/>
      <c r="AC246" s="75"/>
      <c r="AD246" s="166"/>
      <c r="AE246" s="166"/>
      <c r="AF246" s="166"/>
      <c r="AG246" s="166"/>
      <c r="AH246" s="166"/>
      <c r="AI246" s="166"/>
      <c r="AJ246" s="76">
        <f t="shared" si="18"/>
        <v>0</v>
      </c>
      <c r="AK246" s="562"/>
    </row>
    <row r="247" spans="2:37" s="83" customFormat="1" hidden="1">
      <c r="B247" s="79" t="s">
        <v>65</v>
      </c>
      <c r="C247" s="82"/>
      <c r="D247" s="81"/>
      <c r="E247" s="81"/>
      <c r="F247" s="81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75"/>
      <c r="AA247" s="75"/>
      <c r="AB247" s="75"/>
      <c r="AC247" s="75"/>
      <c r="AD247" s="166"/>
      <c r="AE247" s="166"/>
      <c r="AF247" s="166"/>
      <c r="AG247" s="166"/>
      <c r="AH247" s="166"/>
      <c r="AI247" s="166"/>
      <c r="AJ247" s="76">
        <f t="shared" si="18"/>
        <v>0</v>
      </c>
      <c r="AK247" s="562"/>
    </row>
    <row r="248" spans="2:37" s="83" customFormat="1" hidden="1">
      <c r="B248" s="79" t="s">
        <v>65</v>
      </c>
      <c r="C248" s="82"/>
      <c r="D248" s="81"/>
      <c r="E248" s="81"/>
      <c r="F248" s="81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75"/>
      <c r="AA248" s="75"/>
      <c r="AB248" s="75"/>
      <c r="AC248" s="75"/>
      <c r="AD248" s="166"/>
      <c r="AE248" s="166"/>
      <c r="AF248" s="166"/>
      <c r="AG248" s="166"/>
      <c r="AH248" s="166"/>
      <c r="AI248" s="166"/>
      <c r="AJ248" s="76">
        <f t="shared" si="18"/>
        <v>0</v>
      </c>
      <c r="AK248" s="562"/>
    </row>
    <row r="249" spans="2:37" s="83" customFormat="1" hidden="1">
      <c r="B249" s="79" t="s">
        <v>65</v>
      </c>
      <c r="C249" s="82"/>
      <c r="D249" s="81"/>
      <c r="E249" s="81"/>
      <c r="F249" s="81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75"/>
      <c r="AA249" s="75"/>
      <c r="AB249" s="75"/>
      <c r="AC249" s="75"/>
      <c r="AD249" s="166"/>
      <c r="AE249" s="166"/>
      <c r="AF249" s="166"/>
      <c r="AG249" s="166"/>
      <c r="AH249" s="166"/>
      <c r="AI249" s="166"/>
      <c r="AJ249" s="76">
        <f t="shared" si="18"/>
        <v>0</v>
      </c>
      <c r="AK249" s="562"/>
    </row>
    <row r="250" spans="2:37" s="83" customFormat="1" hidden="1">
      <c r="B250" s="79" t="s">
        <v>65</v>
      </c>
      <c r="C250" s="82"/>
      <c r="D250" s="81"/>
      <c r="E250" s="81"/>
      <c r="F250" s="81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75"/>
      <c r="AA250" s="75"/>
      <c r="AB250" s="75"/>
      <c r="AC250" s="75"/>
      <c r="AD250" s="166"/>
      <c r="AE250" s="166"/>
      <c r="AF250" s="166"/>
      <c r="AG250" s="166"/>
      <c r="AH250" s="166"/>
      <c r="AI250" s="166"/>
      <c r="AJ250" s="76">
        <f t="shared" ref="AJ250:AJ266" si="19">SUM(H250:AI250)</f>
        <v>0</v>
      </c>
      <c r="AK250" s="562"/>
    </row>
    <row r="251" spans="2:37" s="83" customFormat="1" hidden="1">
      <c r="B251" s="79" t="s">
        <v>65</v>
      </c>
      <c r="C251" s="82"/>
      <c r="D251" s="81"/>
      <c r="E251" s="81"/>
      <c r="F251" s="81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75"/>
      <c r="AA251" s="75"/>
      <c r="AB251" s="75"/>
      <c r="AC251" s="75"/>
      <c r="AD251" s="166"/>
      <c r="AE251" s="166"/>
      <c r="AF251" s="166"/>
      <c r="AG251" s="166"/>
      <c r="AH251" s="166"/>
      <c r="AI251" s="166"/>
      <c r="AJ251" s="76">
        <f t="shared" si="19"/>
        <v>0</v>
      </c>
      <c r="AK251" s="562"/>
    </row>
    <row r="252" spans="2:37" s="83" customFormat="1" hidden="1">
      <c r="B252" s="79" t="s">
        <v>65</v>
      </c>
      <c r="C252" s="82"/>
      <c r="D252" s="81"/>
      <c r="E252" s="81"/>
      <c r="F252" s="81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75"/>
      <c r="AA252" s="75"/>
      <c r="AB252" s="75"/>
      <c r="AC252" s="75"/>
      <c r="AD252" s="166"/>
      <c r="AE252" s="166"/>
      <c r="AF252" s="166"/>
      <c r="AG252" s="166"/>
      <c r="AH252" s="166"/>
      <c r="AI252" s="166"/>
      <c r="AJ252" s="76">
        <f t="shared" si="19"/>
        <v>0</v>
      </c>
      <c r="AK252" s="562"/>
    </row>
    <row r="253" spans="2:37" s="83" customFormat="1" hidden="1">
      <c r="B253" s="79" t="s">
        <v>65</v>
      </c>
      <c r="C253" s="82"/>
      <c r="D253" s="81"/>
      <c r="E253" s="81"/>
      <c r="F253" s="81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75"/>
      <c r="AA253" s="75"/>
      <c r="AB253" s="75"/>
      <c r="AC253" s="75"/>
      <c r="AD253" s="166"/>
      <c r="AE253" s="166"/>
      <c r="AF253" s="166"/>
      <c r="AG253" s="166"/>
      <c r="AH253" s="166"/>
      <c r="AI253" s="166"/>
      <c r="AJ253" s="76">
        <f t="shared" si="19"/>
        <v>0</v>
      </c>
      <c r="AK253" s="562"/>
    </row>
    <row r="254" spans="2:37" s="83" customFormat="1" hidden="1">
      <c r="B254" s="79" t="s">
        <v>65</v>
      </c>
      <c r="C254" s="82"/>
      <c r="D254" s="81"/>
      <c r="E254" s="81"/>
      <c r="F254" s="81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75"/>
      <c r="AA254" s="75"/>
      <c r="AB254" s="75"/>
      <c r="AC254" s="75"/>
      <c r="AD254" s="166"/>
      <c r="AE254" s="166"/>
      <c r="AF254" s="166"/>
      <c r="AG254" s="166"/>
      <c r="AH254" s="166"/>
      <c r="AI254" s="166"/>
      <c r="AJ254" s="76">
        <f t="shared" si="19"/>
        <v>0</v>
      </c>
      <c r="AK254" s="562"/>
    </row>
    <row r="255" spans="2:37" s="83" customFormat="1" hidden="1">
      <c r="B255" s="79" t="s">
        <v>65</v>
      </c>
      <c r="C255" s="82"/>
      <c r="D255" s="81"/>
      <c r="E255" s="81"/>
      <c r="F255" s="81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75"/>
      <c r="AA255" s="75"/>
      <c r="AB255" s="75"/>
      <c r="AC255" s="75"/>
      <c r="AD255" s="166"/>
      <c r="AE255" s="166"/>
      <c r="AF255" s="166"/>
      <c r="AG255" s="166"/>
      <c r="AH255" s="166"/>
      <c r="AI255" s="166"/>
      <c r="AJ255" s="76">
        <f t="shared" si="19"/>
        <v>0</v>
      </c>
      <c r="AK255" s="562"/>
    </row>
    <row r="256" spans="2:37" s="83" customFormat="1" hidden="1">
      <c r="B256" s="79" t="s">
        <v>65</v>
      </c>
      <c r="C256" s="82"/>
      <c r="D256" s="81"/>
      <c r="E256" s="81"/>
      <c r="F256" s="81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75"/>
      <c r="AA256" s="75"/>
      <c r="AB256" s="75"/>
      <c r="AC256" s="75"/>
      <c r="AD256" s="166"/>
      <c r="AE256" s="166"/>
      <c r="AF256" s="166"/>
      <c r="AG256" s="166"/>
      <c r="AH256" s="166"/>
      <c r="AI256" s="166"/>
      <c r="AJ256" s="76">
        <f t="shared" si="19"/>
        <v>0</v>
      </c>
      <c r="AK256" s="562"/>
    </row>
    <row r="257" spans="2:37" s="83" customFormat="1" hidden="1">
      <c r="B257" s="79" t="s">
        <v>65</v>
      </c>
      <c r="C257" s="82"/>
      <c r="D257" s="81"/>
      <c r="E257" s="81"/>
      <c r="F257" s="81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75"/>
      <c r="AA257" s="75"/>
      <c r="AB257" s="75"/>
      <c r="AC257" s="75"/>
      <c r="AD257" s="166"/>
      <c r="AE257" s="166"/>
      <c r="AF257" s="166"/>
      <c r="AG257" s="166"/>
      <c r="AH257" s="166"/>
      <c r="AI257" s="166"/>
      <c r="AJ257" s="76">
        <f t="shared" si="19"/>
        <v>0</v>
      </c>
      <c r="AK257" s="562"/>
    </row>
    <row r="258" spans="2:37" s="83" customFormat="1" hidden="1">
      <c r="B258" s="79" t="s">
        <v>65</v>
      </c>
      <c r="C258" s="82"/>
      <c r="D258" s="81"/>
      <c r="E258" s="81"/>
      <c r="F258" s="81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75"/>
      <c r="AA258" s="75"/>
      <c r="AB258" s="75"/>
      <c r="AC258" s="75"/>
      <c r="AD258" s="166"/>
      <c r="AE258" s="166"/>
      <c r="AF258" s="166"/>
      <c r="AG258" s="166"/>
      <c r="AH258" s="166"/>
      <c r="AI258" s="166"/>
      <c r="AJ258" s="76">
        <f t="shared" si="19"/>
        <v>0</v>
      </c>
      <c r="AK258" s="562"/>
    </row>
    <row r="259" spans="2:37" s="83" customFormat="1" hidden="1">
      <c r="B259" s="79" t="s">
        <v>65</v>
      </c>
      <c r="C259" s="82"/>
      <c r="D259" s="81"/>
      <c r="E259" s="81"/>
      <c r="F259" s="81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75"/>
      <c r="AA259" s="75"/>
      <c r="AB259" s="75"/>
      <c r="AC259" s="75"/>
      <c r="AD259" s="166"/>
      <c r="AE259" s="166"/>
      <c r="AF259" s="166"/>
      <c r="AG259" s="166"/>
      <c r="AH259" s="166"/>
      <c r="AI259" s="166"/>
      <c r="AJ259" s="76">
        <f t="shared" si="19"/>
        <v>0</v>
      </c>
      <c r="AK259" s="562"/>
    </row>
    <row r="260" spans="2:37" s="83" customFormat="1" hidden="1">
      <c r="B260" s="79" t="s">
        <v>65</v>
      </c>
      <c r="C260" s="82"/>
      <c r="D260" s="81"/>
      <c r="E260" s="81"/>
      <c r="F260" s="81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75"/>
      <c r="AA260" s="75"/>
      <c r="AB260" s="75"/>
      <c r="AC260" s="75"/>
      <c r="AD260" s="166"/>
      <c r="AE260" s="166"/>
      <c r="AF260" s="166"/>
      <c r="AG260" s="166"/>
      <c r="AH260" s="166"/>
      <c r="AI260" s="166"/>
      <c r="AJ260" s="76">
        <f t="shared" si="19"/>
        <v>0</v>
      </c>
      <c r="AK260" s="562"/>
    </row>
    <row r="261" spans="2:37" s="83" customFormat="1" hidden="1">
      <c r="B261" s="79" t="s">
        <v>65</v>
      </c>
      <c r="C261" s="82"/>
      <c r="D261" s="81"/>
      <c r="E261" s="81"/>
      <c r="F261" s="81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75"/>
      <c r="AA261" s="75"/>
      <c r="AB261" s="75"/>
      <c r="AC261" s="75"/>
      <c r="AD261" s="166"/>
      <c r="AE261" s="166"/>
      <c r="AF261" s="166"/>
      <c r="AG261" s="166"/>
      <c r="AH261" s="166"/>
      <c r="AI261" s="166"/>
      <c r="AJ261" s="76">
        <f t="shared" si="19"/>
        <v>0</v>
      </c>
      <c r="AK261" s="562"/>
    </row>
    <row r="262" spans="2:37" s="111" customFormat="1" hidden="1">
      <c r="B262" s="79" t="s">
        <v>65</v>
      </c>
      <c r="C262" s="82"/>
      <c r="D262" s="81"/>
      <c r="E262" s="81"/>
      <c r="F262" s="81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75"/>
      <c r="AA262" s="75"/>
      <c r="AB262" s="75"/>
      <c r="AC262" s="75"/>
      <c r="AD262" s="166"/>
      <c r="AE262" s="166"/>
      <c r="AF262" s="166"/>
      <c r="AG262" s="166"/>
      <c r="AH262" s="166"/>
      <c r="AI262" s="166"/>
      <c r="AJ262" s="76">
        <f t="shared" si="19"/>
        <v>0</v>
      </c>
      <c r="AK262" s="562"/>
    </row>
    <row r="263" spans="2:37" s="111" customFormat="1" hidden="1">
      <c r="B263" s="79" t="s">
        <v>65</v>
      </c>
      <c r="C263" s="82"/>
      <c r="D263" s="81"/>
      <c r="E263" s="81"/>
      <c r="F263" s="81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75"/>
      <c r="AA263" s="75"/>
      <c r="AB263" s="75"/>
      <c r="AC263" s="75"/>
      <c r="AD263" s="166"/>
      <c r="AE263" s="166"/>
      <c r="AF263" s="166"/>
      <c r="AG263" s="166"/>
      <c r="AH263" s="166"/>
      <c r="AI263" s="166"/>
      <c r="AJ263" s="76">
        <f t="shared" si="19"/>
        <v>0</v>
      </c>
      <c r="AK263" s="562"/>
    </row>
    <row r="264" spans="2:37" s="111" customFormat="1" hidden="1">
      <c r="B264" s="79" t="s">
        <v>65</v>
      </c>
      <c r="C264" s="82"/>
      <c r="D264" s="81"/>
      <c r="E264" s="81"/>
      <c r="F264" s="81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75"/>
      <c r="AA264" s="75"/>
      <c r="AB264" s="75"/>
      <c r="AC264" s="75"/>
      <c r="AD264" s="166"/>
      <c r="AE264" s="166"/>
      <c r="AF264" s="166"/>
      <c r="AG264" s="166"/>
      <c r="AH264" s="166"/>
      <c r="AI264" s="166"/>
      <c r="AJ264" s="76">
        <f t="shared" si="19"/>
        <v>0</v>
      </c>
      <c r="AK264" s="562"/>
    </row>
    <row r="265" spans="2:37" s="111" customFormat="1" hidden="1">
      <c r="B265" s="79" t="s">
        <v>65</v>
      </c>
      <c r="C265" s="82"/>
      <c r="D265" s="81"/>
      <c r="E265" s="81"/>
      <c r="F265" s="81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75"/>
      <c r="AA265" s="75"/>
      <c r="AB265" s="75"/>
      <c r="AC265" s="75"/>
      <c r="AD265" s="166"/>
      <c r="AE265" s="166"/>
      <c r="AF265" s="166"/>
      <c r="AG265" s="166"/>
      <c r="AH265" s="166"/>
      <c r="AI265" s="166"/>
      <c r="AJ265" s="76">
        <f t="shared" si="19"/>
        <v>0</v>
      </c>
      <c r="AK265" s="562"/>
    </row>
    <row r="266" spans="2:37" s="83" customFormat="1" hidden="1">
      <c r="B266" s="79" t="s">
        <v>65</v>
      </c>
      <c r="C266" s="79"/>
      <c r="D266" s="80"/>
      <c r="E266" s="81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75"/>
      <c r="AA266" s="75"/>
      <c r="AB266" s="75"/>
      <c r="AC266" s="75"/>
      <c r="AD266" s="166"/>
      <c r="AE266" s="166"/>
      <c r="AF266" s="166"/>
      <c r="AG266" s="166"/>
      <c r="AH266" s="166"/>
      <c r="AI266" s="166"/>
      <c r="AJ266" s="76">
        <f t="shared" si="19"/>
        <v>0</v>
      </c>
      <c r="AK266" s="562"/>
    </row>
    <row r="267" spans="2:37" s="83" customFormat="1" hidden="1">
      <c r="B267" s="79" t="s">
        <v>65</v>
      </c>
      <c r="C267" s="79"/>
      <c r="D267" s="80"/>
      <c r="E267" s="81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75"/>
      <c r="AA267" s="75"/>
      <c r="AB267" s="75"/>
      <c r="AC267" s="75"/>
      <c r="AD267" s="166"/>
      <c r="AE267" s="166"/>
      <c r="AF267" s="166"/>
      <c r="AG267" s="166"/>
      <c r="AH267" s="166"/>
      <c r="AI267" s="166"/>
      <c r="AJ267" s="76">
        <f t="shared" ref="AJ267:AJ286" si="20">SUM(H267:AI267)</f>
        <v>0</v>
      </c>
      <c r="AK267" s="562"/>
    </row>
    <row r="268" spans="2:37" s="83" customFormat="1" hidden="1">
      <c r="B268" s="79" t="s">
        <v>65</v>
      </c>
      <c r="C268" s="79"/>
      <c r="D268" s="80"/>
      <c r="E268" s="81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75"/>
      <c r="AA268" s="75"/>
      <c r="AB268" s="75"/>
      <c r="AC268" s="75"/>
      <c r="AD268" s="166"/>
      <c r="AE268" s="166"/>
      <c r="AF268" s="166"/>
      <c r="AG268" s="166"/>
      <c r="AH268" s="166"/>
      <c r="AI268" s="166"/>
      <c r="AJ268" s="76">
        <f t="shared" si="20"/>
        <v>0</v>
      </c>
      <c r="AK268" s="562"/>
    </row>
    <row r="269" spans="2:37" s="83" customFormat="1" hidden="1">
      <c r="B269" s="79" t="s">
        <v>65</v>
      </c>
      <c r="C269" s="79"/>
      <c r="D269" s="80"/>
      <c r="E269" s="81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75"/>
      <c r="AA269" s="75"/>
      <c r="AB269" s="75"/>
      <c r="AC269" s="75"/>
      <c r="AD269" s="166"/>
      <c r="AE269" s="166"/>
      <c r="AF269" s="166"/>
      <c r="AG269" s="166"/>
      <c r="AH269" s="166"/>
      <c r="AI269" s="166"/>
      <c r="AJ269" s="76">
        <f t="shared" si="20"/>
        <v>0</v>
      </c>
      <c r="AK269" s="562"/>
    </row>
    <row r="270" spans="2:37" s="83" customFormat="1" hidden="1">
      <c r="B270" s="79" t="s">
        <v>65</v>
      </c>
      <c r="C270" s="79"/>
      <c r="D270" s="80"/>
      <c r="E270" s="81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75"/>
      <c r="AA270" s="75"/>
      <c r="AB270" s="75"/>
      <c r="AC270" s="75"/>
      <c r="AD270" s="166"/>
      <c r="AE270" s="166"/>
      <c r="AF270" s="166"/>
      <c r="AG270" s="166"/>
      <c r="AH270" s="166"/>
      <c r="AI270" s="166"/>
      <c r="AJ270" s="76">
        <f t="shared" si="20"/>
        <v>0</v>
      </c>
      <c r="AK270" s="562"/>
    </row>
    <row r="271" spans="2:37" s="83" customFormat="1" hidden="1">
      <c r="B271" s="79" t="s">
        <v>65</v>
      </c>
      <c r="C271" s="79"/>
      <c r="D271" s="80"/>
      <c r="E271" s="81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75"/>
      <c r="AA271" s="75"/>
      <c r="AB271" s="75"/>
      <c r="AC271" s="75"/>
      <c r="AD271" s="166"/>
      <c r="AE271" s="166"/>
      <c r="AF271" s="166"/>
      <c r="AG271" s="166"/>
      <c r="AH271" s="166"/>
      <c r="AI271" s="166"/>
      <c r="AJ271" s="76">
        <f t="shared" si="20"/>
        <v>0</v>
      </c>
      <c r="AK271" s="562"/>
    </row>
    <row r="272" spans="2:37" s="83" customFormat="1" hidden="1">
      <c r="B272" s="79" t="s">
        <v>65</v>
      </c>
      <c r="C272" s="79"/>
      <c r="D272" s="80"/>
      <c r="E272" s="81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75"/>
      <c r="AA272" s="75"/>
      <c r="AB272" s="75"/>
      <c r="AC272" s="75"/>
      <c r="AD272" s="166"/>
      <c r="AE272" s="166"/>
      <c r="AF272" s="166"/>
      <c r="AG272" s="166"/>
      <c r="AH272" s="166"/>
      <c r="AI272" s="166"/>
      <c r="AJ272" s="76">
        <f t="shared" si="20"/>
        <v>0</v>
      </c>
      <c r="AK272" s="562"/>
    </row>
    <row r="273" spans="2:37" s="83" customFormat="1" hidden="1">
      <c r="B273" s="79" t="s">
        <v>65</v>
      </c>
      <c r="C273" s="79"/>
      <c r="D273" s="80"/>
      <c r="E273" s="81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75"/>
      <c r="AA273" s="75"/>
      <c r="AB273" s="75"/>
      <c r="AC273" s="75"/>
      <c r="AD273" s="166"/>
      <c r="AE273" s="166"/>
      <c r="AF273" s="166"/>
      <c r="AG273" s="166"/>
      <c r="AH273" s="166"/>
      <c r="AI273" s="166"/>
      <c r="AJ273" s="76">
        <f t="shared" si="20"/>
        <v>0</v>
      </c>
      <c r="AK273" s="562"/>
    </row>
    <row r="274" spans="2:37" s="83" customFormat="1" hidden="1">
      <c r="B274" s="79" t="s">
        <v>65</v>
      </c>
      <c r="C274" s="79"/>
      <c r="D274" s="80"/>
      <c r="E274" s="81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75"/>
      <c r="AA274" s="75"/>
      <c r="AB274" s="75"/>
      <c r="AC274" s="75"/>
      <c r="AD274" s="166"/>
      <c r="AE274" s="166"/>
      <c r="AF274" s="166"/>
      <c r="AG274" s="166"/>
      <c r="AH274" s="166"/>
      <c r="AI274" s="166"/>
      <c r="AJ274" s="76">
        <f t="shared" si="20"/>
        <v>0</v>
      </c>
      <c r="AK274" s="562"/>
    </row>
    <row r="275" spans="2:37" s="83" customFormat="1" hidden="1">
      <c r="B275" s="79" t="s">
        <v>65</v>
      </c>
      <c r="C275" s="79"/>
      <c r="D275" s="80"/>
      <c r="E275" s="81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75"/>
      <c r="AA275" s="75"/>
      <c r="AB275" s="75"/>
      <c r="AC275" s="75"/>
      <c r="AD275" s="166"/>
      <c r="AE275" s="166"/>
      <c r="AF275" s="166"/>
      <c r="AG275" s="166"/>
      <c r="AH275" s="166"/>
      <c r="AI275" s="166"/>
      <c r="AJ275" s="76">
        <f t="shared" si="20"/>
        <v>0</v>
      </c>
      <c r="AK275" s="562"/>
    </row>
    <row r="276" spans="2:37" s="83" customFormat="1" hidden="1">
      <c r="B276" s="79" t="s">
        <v>65</v>
      </c>
      <c r="C276" s="79"/>
      <c r="D276" s="80"/>
      <c r="E276" s="81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75"/>
      <c r="AA276" s="75"/>
      <c r="AB276" s="75"/>
      <c r="AC276" s="75"/>
      <c r="AD276" s="166"/>
      <c r="AE276" s="166"/>
      <c r="AF276" s="166"/>
      <c r="AG276" s="166"/>
      <c r="AH276" s="166"/>
      <c r="AI276" s="166"/>
      <c r="AJ276" s="76">
        <f t="shared" si="20"/>
        <v>0</v>
      </c>
      <c r="AK276" s="562"/>
    </row>
    <row r="277" spans="2:37" s="83" customFormat="1" hidden="1">
      <c r="B277" s="79" t="s">
        <v>65</v>
      </c>
      <c r="C277" s="79"/>
      <c r="D277" s="80"/>
      <c r="E277" s="81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75"/>
      <c r="AA277" s="75"/>
      <c r="AB277" s="75"/>
      <c r="AC277" s="75"/>
      <c r="AD277" s="166"/>
      <c r="AE277" s="166"/>
      <c r="AF277" s="166"/>
      <c r="AG277" s="166"/>
      <c r="AH277" s="166"/>
      <c r="AI277" s="166"/>
      <c r="AJ277" s="76">
        <f t="shared" si="20"/>
        <v>0</v>
      </c>
      <c r="AK277" s="562"/>
    </row>
    <row r="278" spans="2:37" s="83" customFormat="1" hidden="1">
      <c r="B278" s="79" t="s">
        <v>65</v>
      </c>
      <c r="C278" s="79"/>
      <c r="D278" s="80"/>
      <c r="E278" s="81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75"/>
      <c r="AA278" s="75"/>
      <c r="AB278" s="75"/>
      <c r="AC278" s="75"/>
      <c r="AD278" s="166"/>
      <c r="AE278" s="166"/>
      <c r="AF278" s="166"/>
      <c r="AG278" s="166"/>
      <c r="AH278" s="166"/>
      <c r="AI278" s="166"/>
      <c r="AJ278" s="76">
        <f t="shared" si="20"/>
        <v>0</v>
      </c>
      <c r="AK278" s="562"/>
    </row>
    <row r="279" spans="2:37" s="83" customFormat="1" hidden="1">
      <c r="B279" s="79" t="s">
        <v>65</v>
      </c>
      <c r="C279" s="79"/>
      <c r="D279" s="80"/>
      <c r="E279" s="81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75"/>
      <c r="AA279" s="75"/>
      <c r="AB279" s="75"/>
      <c r="AC279" s="75"/>
      <c r="AD279" s="166"/>
      <c r="AE279" s="166"/>
      <c r="AF279" s="166"/>
      <c r="AG279" s="166"/>
      <c r="AH279" s="166"/>
      <c r="AI279" s="166"/>
      <c r="AJ279" s="76">
        <f t="shared" si="20"/>
        <v>0</v>
      </c>
      <c r="AK279" s="562"/>
    </row>
    <row r="280" spans="2:37" s="83" customFormat="1" hidden="1">
      <c r="B280" s="79" t="s">
        <v>65</v>
      </c>
      <c r="C280" s="79"/>
      <c r="D280" s="80"/>
      <c r="E280" s="81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75"/>
      <c r="AA280" s="75"/>
      <c r="AB280" s="75"/>
      <c r="AC280" s="75"/>
      <c r="AD280" s="166"/>
      <c r="AE280" s="166"/>
      <c r="AF280" s="166"/>
      <c r="AG280" s="166"/>
      <c r="AH280" s="166"/>
      <c r="AI280" s="166"/>
      <c r="AJ280" s="76">
        <f t="shared" si="20"/>
        <v>0</v>
      </c>
      <c r="AK280" s="562"/>
    </row>
    <row r="281" spans="2:37" s="83" customFormat="1" hidden="1">
      <c r="B281" s="79" t="s">
        <v>65</v>
      </c>
      <c r="C281" s="79"/>
      <c r="D281" s="80"/>
      <c r="E281" s="81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75"/>
      <c r="AA281" s="75"/>
      <c r="AB281" s="75"/>
      <c r="AC281" s="75"/>
      <c r="AD281" s="166"/>
      <c r="AE281" s="166"/>
      <c r="AF281" s="166"/>
      <c r="AG281" s="166"/>
      <c r="AH281" s="166"/>
      <c r="AI281" s="166"/>
      <c r="AJ281" s="76">
        <f t="shared" si="20"/>
        <v>0</v>
      </c>
      <c r="AK281" s="562"/>
    </row>
    <row r="282" spans="2:37" s="83" customFormat="1" hidden="1">
      <c r="B282" s="79" t="s">
        <v>65</v>
      </c>
      <c r="C282" s="79"/>
      <c r="D282" s="80"/>
      <c r="E282" s="81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75"/>
      <c r="AA282" s="75"/>
      <c r="AB282" s="75"/>
      <c r="AC282" s="75"/>
      <c r="AD282" s="166"/>
      <c r="AE282" s="166"/>
      <c r="AF282" s="166"/>
      <c r="AG282" s="166"/>
      <c r="AH282" s="166"/>
      <c r="AI282" s="166"/>
      <c r="AJ282" s="76">
        <f t="shared" si="20"/>
        <v>0</v>
      </c>
      <c r="AK282" s="562"/>
    </row>
    <row r="283" spans="2:37" s="83" customFormat="1" hidden="1">
      <c r="B283" s="79" t="s">
        <v>65</v>
      </c>
      <c r="C283" s="79"/>
      <c r="D283" s="80"/>
      <c r="E283" s="81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75"/>
      <c r="AA283" s="75"/>
      <c r="AB283" s="75"/>
      <c r="AC283" s="75"/>
      <c r="AD283" s="166"/>
      <c r="AE283" s="166"/>
      <c r="AF283" s="166"/>
      <c r="AG283" s="166"/>
      <c r="AH283" s="166"/>
      <c r="AI283" s="166"/>
      <c r="AJ283" s="76">
        <f t="shared" si="20"/>
        <v>0</v>
      </c>
      <c r="AK283" s="562"/>
    </row>
    <row r="284" spans="2:37" s="83" customFormat="1" hidden="1">
      <c r="B284" s="79" t="s">
        <v>65</v>
      </c>
      <c r="C284" s="79"/>
      <c r="D284" s="80"/>
      <c r="E284" s="81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75"/>
      <c r="AA284" s="75"/>
      <c r="AB284" s="75"/>
      <c r="AC284" s="75"/>
      <c r="AD284" s="166"/>
      <c r="AE284" s="166"/>
      <c r="AF284" s="166"/>
      <c r="AG284" s="166"/>
      <c r="AH284" s="166"/>
      <c r="AI284" s="166"/>
      <c r="AJ284" s="76">
        <f t="shared" si="20"/>
        <v>0</v>
      </c>
      <c r="AK284" s="562"/>
    </row>
    <row r="285" spans="2:37" s="83" customFormat="1" hidden="1">
      <c r="B285" s="79" t="s">
        <v>65</v>
      </c>
      <c r="C285" s="79"/>
      <c r="D285" s="80"/>
      <c r="E285" s="81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75"/>
      <c r="AA285" s="75"/>
      <c r="AB285" s="75"/>
      <c r="AC285" s="75"/>
      <c r="AD285" s="166"/>
      <c r="AE285" s="166"/>
      <c r="AF285" s="166"/>
      <c r="AG285" s="166"/>
      <c r="AH285" s="166"/>
      <c r="AI285" s="166"/>
      <c r="AJ285" s="76">
        <f t="shared" si="20"/>
        <v>0</v>
      </c>
      <c r="AK285" s="562"/>
    </row>
    <row r="286" spans="2:37" s="83" customFormat="1" hidden="1">
      <c r="B286" s="79" t="s">
        <v>65</v>
      </c>
      <c r="C286" s="79"/>
      <c r="D286" s="80"/>
      <c r="E286" s="81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75"/>
      <c r="AA286" s="75"/>
      <c r="AB286" s="75"/>
      <c r="AC286" s="75"/>
      <c r="AD286" s="166"/>
      <c r="AE286" s="166"/>
      <c r="AF286" s="166"/>
      <c r="AG286" s="166"/>
      <c r="AH286" s="166"/>
      <c r="AI286" s="166"/>
      <c r="AJ286" s="76">
        <f t="shared" si="20"/>
        <v>0</v>
      </c>
      <c r="AK286" s="562"/>
    </row>
    <row r="287" spans="2:37" s="83" customFormat="1" hidden="1">
      <c r="B287" s="79" t="s">
        <v>65</v>
      </c>
      <c r="C287" s="79"/>
      <c r="D287" s="80"/>
      <c r="E287" s="81"/>
      <c r="F287" s="81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75"/>
      <c r="AA287" s="75"/>
      <c r="AB287" s="75"/>
      <c r="AC287" s="75"/>
      <c r="AD287" s="166"/>
      <c r="AE287" s="166"/>
      <c r="AF287" s="166"/>
      <c r="AG287" s="166"/>
      <c r="AH287" s="166"/>
      <c r="AI287" s="166"/>
      <c r="AJ287" s="76">
        <f t="shared" ref="AJ287:AJ294" si="21">SUM(H287:AI287)</f>
        <v>0</v>
      </c>
      <c r="AK287" s="562"/>
    </row>
    <row r="288" spans="2:37" s="83" customFormat="1" hidden="1">
      <c r="B288" s="79" t="s">
        <v>65</v>
      </c>
      <c r="C288" s="79"/>
      <c r="D288" s="80"/>
      <c r="E288" s="81"/>
      <c r="F288" s="81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75"/>
      <c r="AA288" s="75"/>
      <c r="AB288" s="75"/>
      <c r="AC288" s="75"/>
      <c r="AD288" s="166"/>
      <c r="AE288" s="166"/>
      <c r="AF288" s="166"/>
      <c r="AG288" s="166"/>
      <c r="AH288" s="166"/>
      <c r="AI288" s="166"/>
      <c r="AJ288" s="76">
        <f t="shared" si="21"/>
        <v>0</v>
      </c>
      <c r="AK288" s="562"/>
    </row>
    <row r="289" spans="2:37" s="83" customFormat="1" hidden="1">
      <c r="B289" s="79" t="s">
        <v>65</v>
      </c>
      <c r="C289" s="79"/>
      <c r="D289" s="80"/>
      <c r="E289" s="81"/>
      <c r="F289" s="81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75"/>
      <c r="AA289" s="75"/>
      <c r="AB289" s="75"/>
      <c r="AC289" s="75"/>
      <c r="AD289" s="166"/>
      <c r="AE289" s="166"/>
      <c r="AF289" s="166"/>
      <c r="AG289" s="166"/>
      <c r="AH289" s="166"/>
      <c r="AI289" s="166"/>
      <c r="AJ289" s="76">
        <f t="shared" si="21"/>
        <v>0</v>
      </c>
      <c r="AK289" s="562"/>
    </row>
    <row r="290" spans="2:37" s="83" customFormat="1" hidden="1">
      <c r="B290" s="79" t="s">
        <v>65</v>
      </c>
      <c r="C290" s="79"/>
      <c r="D290" s="80"/>
      <c r="E290" s="81"/>
      <c r="F290" s="81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75"/>
      <c r="AA290" s="75"/>
      <c r="AB290" s="75"/>
      <c r="AC290" s="75"/>
      <c r="AD290" s="166"/>
      <c r="AE290" s="166"/>
      <c r="AF290" s="166"/>
      <c r="AG290" s="166"/>
      <c r="AH290" s="166"/>
      <c r="AI290" s="166"/>
      <c r="AJ290" s="76">
        <f t="shared" si="21"/>
        <v>0</v>
      </c>
      <c r="AK290" s="562"/>
    </row>
    <row r="291" spans="2:37" s="83" customFormat="1" hidden="1">
      <c r="B291" s="79" t="s">
        <v>65</v>
      </c>
      <c r="C291" s="79"/>
      <c r="D291" s="80"/>
      <c r="E291" s="81"/>
      <c r="F291" s="81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75"/>
      <c r="AA291" s="75"/>
      <c r="AB291" s="75"/>
      <c r="AC291" s="75"/>
      <c r="AD291" s="166"/>
      <c r="AE291" s="166"/>
      <c r="AF291" s="166"/>
      <c r="AG291" s="166"/>
      <c r="AH291" s="166"/>
      <c r="AI291" s="166"/>
      <c r="AJ291" s="76">
        <f t="shared" si="21"/>
        <v>0</v>
      </c>
      <c r="AK291" s="562"/>
    </row>
    <row r="292" spans="2:37" s="83" customFormat="1" hidden="1">
      <c r="B292" s="79" t="s">
        <v>65</v>
      </c>
      <c r="C292" s="79"/>
      <c r="D292" s="80"/>
      <c r="E292" s="81"/>
      <c r="F292" s="81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75"/>
      <c r="AA292" s="75"/>
      <c r="AB292" s="75"/>
      <c r="AC292" s="75"/>
      <c r="AD292" s="166"/>
      <c r="AE292" s="166"/>
      <c r="AF292" s="166"/>
      <c r="AG292" s="166"/>
      <c r="AH292" s="166"/>
      <c r="AI292" s="166"/>
      <c r="AJ292" s="76">
        <f t="shared" si="21"/>
        <v>0</v>
      </c>
      <c r="AK292" s="562"/>
    </row>
    <row r="293" spans="2:37" s="83" customFormat="1" hidden="1">
      <c r="B293" s="79" t="s">
        <v>65</v>
      </c>
      <c r="C293" s="79"/>
      <c r="D293" s="80"/>
      <c r="E293" s="81"/>
      <c r="F293" s="81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75"/>
      <c r="AA293" s="75"/>
      <c r="AB293" s="75"/>
      <c r="AC293" s="75"/>
      <c r="AD293" s="166"/>
      <c r="AE293" s="166"/>
      <c r="AF293" s="166"/>
      <c r="AG293" s="166"/>
      <c r="AH293" s="166"/>
      <c r="AI293" s="166"/>
      <c r="AJ293" s="76">
        <f t="shared" si="21"/>
        <v>0</v>
      </c>
      <c r="AK293" s="562"/>
    </row>
    <row r="294" spans="2:37" s="83" customFormat="1" hidden="1">
      <c r="B294" s="79" t="s">
        <v>65</v>
      </c>
      <c r="C294" s="79"/>
      <c r="D294" s="80"/>
      <c r="E294" s="81"/>
      <c r="F294" s="81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75"/>
      <c r="AA294" s="75"/>
      <c r="AB294" s="75"/>
      <c r="AC294" s="75"/>
      <c r="AD294" s="166"/>
      <c r="AE294" s="166"/>
      <c r="AF294" s="166"/>
      <c r="AG294" s="166"/>
      <c r="AH294" s="166"/>
      <c r="AI294" s="166"/>
      <c r="AJ294" s="76">
        <f t="shared" si="21"/>
        <v>0</v>
      </c>
      <c r="AK294" s="562"/>
    </row>
    <row r="295" spans="2:37" s="83" customFormat="1" hidden="1">
      <c r="B295" s="79" t="s">
        <v>65</v>
      </c>
      <c r="C295" s="79"/>
      <c r="D295" s="80"/>
      <c r="E295" s="81"/>
      <c r="F295" s="81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75"/>
      <c r="AA295" s="75"/>
      <c r="AB295" s="75"/>
      <c r="AC295" s="75"/>
      <c r="AD295" s="166"/>
      <c r="AE295" s="166"/>
      <c r="AF295" s="166"/>
      <c r="AG295" s="166"/>
      <c r="AH295" s="166"/>
      <c r="AI295" s="166"/>
      <c r="AJ295" s="76">
        <f t="shared" ref="AJ295:AJ300" si="22">SUM(H295:AI295)</f>
        <v>0</v>
      </c>
      <c r="AK295" s="562"/>
    </row>
    <row r="296" spans="2:37" s="83" customFormat="1" hidden="1">
      <c r="B296" s="79" t="s">
        <v>65</v>
      </c>
      <c r="C296" s="79"/>
      <c r="D296" s="80"/>
      <c r="E296" s="81"/>
      <c r="F296" s="81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75"/>
      <c r="AA296" s="75"/>
      <c r="AB296" s="75"/>
      <c r="AC296" s="75"/>
      <c r="AD296" s="166"/>
      <c r="AE296" s="166"/>
      <c r="AF296" s="166"/>
      <c r="AG296" s="166"/>
      <c r="AH296" s="166"/>
      <c r="AI296" s="166"/>
      <c r="AJ296" s="76">
        <f t="shared" si="22"/>
        <v>0</v>
      </c>
      <c r="AK296" s="562"/>
    </row>
    <row r="297" spans="2:37" s="83" customFormat="1" hidden="1">
      <c r="B297" s="79" t="s">
        <v>65</v>
      </c>
      <c r="C297" s="79"/>
      <c r="D297" s="80"/>
      <c r="E297" s="81"/>
      <c r="F297" s="81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75"/>
      <c r="AA297" s="75"/>
      <c r="AB297" s="75"/>
      <c r="AC297" s="75"/>
      <c r="AD297" s="166"/>
      <c r="AE297" s="166"/>
      <c r="AF297" s="166"/>
      <c r="AG297" s="166"/>
      <c r="AH297" s="166"/>
      <c r="AI297" s="75"/>
      <c r="AJ297" s="76">
        <f t="shared" si="22"/>
        <v>0</v>
      </c>
      <c r="AK297" s="562"/>
    </row>
    <row r="298" spans="2:37" s="83" customFormat="1" hidden="1">
      <c r="B298" s="79" t="s">
        <v>65</v>
      </c>
      <c r="C298" s="79"/>
      <c r="D298" s="80"/>
      <c r="E298" s="81"/>
      <c r="F298" s="81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75"/>
      <c r="AA298" s="75"/>
      <c r="AB298" s="75"/>
      <c r="AC298" s="75"/>
      <c r="AD298" s="166"/>
      <c r="AE298" s="166"/>
      <c r="AF298" s="166"/>
      <c r="AG298" s="166"/>
      <c r="AH298" s="166"/>
      <c r="AI298" s="75"/>
      <c r="AJ298" s="76">
        <f t="shared" si="22"/>
        <v>0</v>
      </c>
      <c r="AK298" s="562"/>
    </row>
    <row r="299" spans="2:37" s="83" customFormat="1" hidden="1">
      <c r="B299" s="79" t="s">
        <v>65</v>
      </c>
      <c r="C299" s="79"/>
      <c r="D299" s="80"/>
      <c r="E299" s="81"/>
      <c r="F299" s="81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75"/>
      <c r="AA299" s="75"/>
      <c r="AB299" s="75"/>
      <c r="AC299" s="75"/>
      <c r="AD299" s="166"/>
      <c r="AE299" s="166"/>
      <c r="AF299" s="166"/>
      <c r="AG299" s="166"/>
      <c r="AH299" s="166"/>
      <c r="AI299" s="75"/>
      <c r="AJ299" s="76">
        <f t="shared" si="22"/>
        <v>0</v>
      </c>
      <c r="AK299" s="562"/>
    </row>
    <row r="300" spans="2:37" s="83" customFormat="1" hidden="1">
      <c r="B300" s="79" t="s">
        <v>65</v>
      </c>
      <c r="C300" s="79"/>
      <c r="D300" s="80"/>
      <c r="E300" s="81"/>
      <c r="F300" s="81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75"/>
      <c r="AA300" s="75"/>
      <c r="AB300" s="75"/>
      <c r="AC300" s="75"/>
      <c r="AD300" s="166"/>
      <c r="AE300" s="166"/>
      <c r="AF300" s="166"/>
      <c r="AG300" s="166"/>
      <c r="AH300" s="166"/>
      <c r="AI300" s="75"/>
      <c r="AJ300" s="76">
        <f t="shared" si="22"/>
        <v>0</v>
      </c>
      <c r="AK300" s="562"/>
    </row>
    <row r="301" spans="2:37" s="83" customFormat="1" hidden="1">
      <c r="B301" s="79" t="s">
        <v>65</v>
      </c>
      <c r="C301" s="79"/>
      <c r="D301" s="80"/>
      <c r="E301" s="81"/>
      <c r="F301" s="81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75"/>
      <c r="AA301" s="75"/>
      <c r="AB301" s="75"/>
      <c r="AC301" s="75"/>
      <c r="AD301" s="166"/>
      <c r="AE301" s="166"/>
      <c r="AF301" s="166"/>
      <c r="AG301" s="166"/>
      <c r="AH301" s="166"/>
      <c r="AI301" s="75"/>
      <c r="AJ301" s="76">
        <f>SUM(H301:AI301)</f>
        <v>0</v>
      </c>
      <c r="AK301" s="562"/>
    </row>
    <row r="302" spans="2:37" s="83" customFormat="1" hidden="1">
      <c r="B302" s="79" t="s">
        <v>65</v>
      </c>
      <c r="C302" s="79"/>
      <c r="D302" s="80"/>
      <c r="E302" s="81"/>
      <c r="F302" s="81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75"/>
      <c r="AA302" s="75"/>
      <c r="AB302" s="75"/>
      <c r="AC302" s="75"/>
      <c r="AD302" s="166"/>
      <c r="AE302" s="166"/>
      <c r="AF302" s="166"/>
      <c r="AG302" s="166"/>
      <c r="AH302" s="166"/>
      <c r="AI302" s="75"/>
      <c r="AJ302" s="76">
        <f t="shared" ref="AJ302:AJ307" si="23">SUM(H302:AI302)</f>
        <v>0</v>
      </c>
      <c r="AK302" s="562"/>
    </row>
    <row r="303" spans="2:37" s="83" customFormat="1" hidden="1">
      <c r="B303" s="79" t="s">
        <v>65</v>
      </c>
      <c r="C303" s="79"/>
      <c r="D303" s="80"/>
      <c r="E303" s="81"/>
      <c r="F303" s="81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75"/>
      <c r="AA303" s="75"/>
      <c r="AB303" s="75"/>
      <c r="AC303" s="75"/>
      <c r="AD303" s="166"/>
      <c r="AE303" s="166"/>
      <c r="AF303" s="166"/>
      <c r="AG303" s="166"/>
      <c r="AH303" s="166"/>
      <c r="AI303" s="75"/>
      <c r="AJ303" s="76">
        <f t="shared" si="23"/>
        <v>0</v>
      </c>
      <c r="AK303" s="562"/>
    </row>
    <row r="304" spans="2:37" s="83" customFormat="1" hidden="1">
      <c r="B304" s="79" t="s">
        <v>65</v>
      </c>
      <c r="C304" s="79"/>
      <c r="D304" s="80"/>
      <c r="E304" s="81"/>
      <c r="F304" s="81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75"/>
      <c r="AA304" s="75"/>
      <c r="AB304" s="75"/>
      <c r="AC304" s="75"/>
      <c r="AD304" s="166"/>
      <c r="AE304" s="166"/>
      <c r="AF304" s="166"/>
      <c r="AG304" s="166"/>
      <c r="AH304" s="166"/>
      <c r="AI304" s="75"/>
      <c r="AJ304" s="76">
        <f t="shared" si="23"/>
        <v>0</v>
      </c>
      <c r="AK304" s="562"/>
    </row>
    <row r="305" spans="2:37" s="83" customFormat="1" hidden="1">
      <c r="B305" s="79" t="s">
        <v>65</v>
      </c>
      <c r="C305" s="79"/>
      <c r="D305" s="80"/>
      <c r="E305" s="81"/>
      <c r="F305" s="81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75"/>
      <c r="AA305" s="75"/>
      <c r="AB305" s="75"/>
      <c r="AC305" s="75"/>
      <c r="AD305" s="166"/>
      <c r="AE305" s="166"/>
      <c r="AF305" s="166"/>
      <c r="AG305" s="166"/>
      <c r="AH305" s="166"/>
      <c r="AI305" s="75"/>
      <c r="AJ305" s="76">
        <f t="shared" si="23"/>
        <v>0</v>
      </c>
      <c r="AK305" s="562"/>
    </row>
    <row r="306" spans="2:37" s="83" customFormat="1" hidden="1">
      <c r="B306" s="79" t="s">
        <v>65</v>
      </c>
      <c r="C306" s="79"/>
      <c r="D306" s="80"/>
      <c r="E306" s="81"/>
      <c r="F306" s="81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75"/>
      <c r="AA306" s="75"/>
      <c r="AB306" s="75"/>
      <c r="AC306" s="75"/>
      <c r="AD306" s="166"/>
      <c r="AE306" s="166"/>
      <c r="AF306" s="166"/>
      <c r="AG306" s="166"/>
      <c r="AH306" s="166"/>
      <c r="AI306" s="75"/>
      <c r="AJ306" s="76">
        <f t="shared" si="23"/>
        <v>0</v>
      </c>
      <c r="AK306" s="562"/>
    </row>
    <row r="307" spans="2:37" s="83" customFormat="1" hidden="1">
      <c r="B307" s="79" t="s">
        <v>65</v>
      </c>
      <c r="C307" s="79"/>
      <c r="D307" s="80"/>
      <c r="E307" s="81"/>
      <c r="F307" s="81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75"/>
      <c r="AA307" s="75"/>
      <c r="AB307" s="75"/>
      <c r="AC307" s="75"/>
      <c r="AD307" s="166"/>
      <c r="AE307" s="166"/>
      <c r="AF307" s="166"/>
      <c r="AG307" s="166"/>
      <c r="AH307" s="166"/>
      <c r="AI307" s="75"/>
      <c r="AJ307" s="76">
        <f t="shared" si="23"/>
        <v>0</v>
      </c>
      <c r="AK307" s="562"/>
    </row>
    <row r="308" spans="2:37" s="83" customFormat="1" hidden="1">
      <c r="B308" s="79" t="s">
        <v>65</v>
      </c>
      <c r="C308" s="79"/>
      <c r="D308" s="80"/>
      <c r="E308" s="81"/>
      <c r="F308" s="81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75"/>
      <c r="AA308" s="75"/>
      <c r="AB308" s="75"/>
      <c r="AC308" s="75"/>
      <c r="AD308" s="166"/>
      <c r="AE308" s="166"/>
      <c r="AF308" s="166"/>
      <c r="AG308" s="166"/>
      <c r="AH308" s="166"/>
      <c r="AI308" s="75"/>
      <c r="AJ308" s="76">
        <f>SUM(H308:AI308)</f>
        <v>0</v>
      </c>
      <c r="AK308" s="562"/>
    </row>
    <row r="309" spans="2:37" s="83" customFormat="1" hidden="1">
      <c r="B309" s="79" t="s">
        <v>65</v>
      </c>
      <c r="C309" s="79"/>
      <c r="D309" s="80"/>
      <c r="E309" s="81"/>
      <c r="F309" s="81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75"/>
      <c r="AA309" s="75"/>
      <c r="AB309" s="75"/>
      <c r="AC309" s="75"/>
      <c r="AD309" s="166"/>
      <c r="AE309" s="166"/>
      <c r="AF309" s="166"/>
      <c r="AG309" s="166"/>
      <c r="AH309" s="166"/>
      <c r="AI309" s="75"/>
      <c r="AJ309" s="76">
        <f>SUM(H309:AI309)</f>
        <v>0</v>
      </c>
      <c r="AK309" s="562"/>
    </row>
    <row r="310" spans="2:37" s="83" customFormat="1" hidden="1">
      <c r="B310" s="79" t="s">
        <v>65</v>
      </c>
      <c r="C310" s="79"/>
      <c r="D310" s="80"/>
      <c r="E310" s="81"/>
      <c r="F310" s="81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75"/>
      <c r="AA310" s="75"/>
      <c r="AB310" s="75"/>
      <c r="AC310" s="75"/>
      <c r="AD310" s="166"/>
      <c r="AE310" s="166"/>
      <c r="AF310" s="166"/>
      <c r="AG310" s="166"/>
      <c r="AH310" s="166"/>
      <c r="AI310" s="75"/>
      <c r="AJ310" s="76">
        <f t="shared" ref="AJ310:AJ320" si="24">SUM(H310:AI310)</f>
        <v>0</v>
      </c>
      <c r="AK310" s="562"/>
    </row>
    <row r="311" spans="2:37" s="83" customFormat="1" hidden="1">
      <c r="B311" s="79" t="s">
        <v>65</v>
      </c>
      <c r="C311" s="79"/>
      <c r="D311" s="80"/>
      <c r="E311" s="81"/>
      <c r="F311" s="81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75"/>
      <c r="AA311" s="75"/>
      <c r="AB311" s="75"/>
      <c r="AC311" s="75"/>
      <c r="AD311" s="166"/>
      <c r="AE311" s="166"/>
      <c r="AF311" s="166"/>
      <c r="AG311" s="166"/>
      <c r="AH311" s="166"/>
      <c r="AI311" s="75"/>
      <c r="AJ311" s="76">
        <f t="shared" si="24"/>
        <v>0</v>
      </c>
      <c r="AK311" s="562"/>
    </row>
    <row r="312" spans="2:37" s="83" customFormat="1" hidden="1">
      <c r="B312" s="79" t="s">
        <v>65</v>
      </c>
      <c r="C312" s="79"/>
      <c r="D312" s="80"/>
      <c r="E312" s="81"/>
      <c r="F312" s="81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75"/>
      <c r="AA312" s="75"/>
      <c r="AB312" s="75"/>
      <c r="AC312" s="75"/>
      <c r="AD312" s="166"/>
      <c r="AE312" s="166"/>
      <c r="AF312" s="166"/>
      <c r="AG312" s="166"/>
      <c r="AH312" s="166"/>
      <c r="AI312" s="75"/>
      <c r="AJ312" s="76">
        <f t="shared" si="24"/>
        <v>0</v>
      </c>
      <c r="AK312" s="562"/>
    </row>
    <row r="313" spans="2:37" s="83" customFormat="1" hidden="1">
      <c r="B313" s="79" t="s">
        <v>65</v>
      </c>
      <c r="C313" s="79"/>
      <c r="D313" s="80"/>
      <c r="E313" s="81"/>
      <c r="F313" s="81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75"/>
      <c r="AA313" s="75"/>
      <c r="AB313" s="75"/>
      <c r="AC313" s="75"/>
      <c r="AD313" s="166"/>
      <c r="AE313" s="166"/>
      <c r="AF313" s="166"/>
      <c r="AG313" s="166"/>
      <c r="AH313" s="166"/>
      <c r="AI313" s="75"/>
      <c r="AJ313" s="76">
        <f t="shared" si="24"/>
        <v>0</v>
      </c>
      <c r="AK313" s="562"/>
    </row>
    <row r="314" spans="2:37" s="83" customFormat="1" hidden="1">
      <c r="B314" s="79" t="s">
        <v>65</v>
      </c>
      <c r="C314" s="79"/>
      <c r="D314" s="80"/>
      <c r="E314" s="81"/>
      <c r="F314" s="81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75"/>
      <c r="AA314" s="75"/>
      <c r="AB314" s="75"/>
      <c r="AC314" s="75"/>
      <c r="AD314" s="166"/>
      <c r="AE314" s="166"/>
      <c r="AF314" s="166"/>
      <c r="AG314" s="166"/>
      <c r="AH314" s="166"/>
      <c r="AI314" s="75"/>
      <c r="AJ314" s="76">
        <f t="shared" si="24"/>
        <v>0</v>
      </c>
      <c r="AK314" s="562"/>
    </row>
    <row r="315" spans="2:37" s="83" customFormat="1" hidden="1">
      <c r="B315" s="79" t="s">
        <v>65</v>
      </c>
      <c r="C315" s="79"/>
      <c r="D315" s="80"/>
      <c r="E315" s="81"/>
      <c r="F315" s="81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75"/>
      <c r="AA315" s="75"/>
      <c r="AB315" s="75"/>
      <c r="AC315" s="75"/>
      <c r="AD315" s="166"/>
      <c r="AE315" s="166"/>
      <c r="AF315" s="166"/>
      <c r="AG315" s="166"/>
      <c r="AH315" s="166"/>
      <c r="AI315" s="75"/>
      <c r="AJ315" s="76">
        <f t="shared" si="24"/>
        <v>0</v>
      </c>
      <c r="AK315" s="562"/>
    </row>
    <row r="316" spans="2:37" s="83" customFormat="1" hidden="1">
      <c r="B316" s="79" t="s">
        <v>65</v>
      </c>
      <c r="C316" s="79"/>
      <c r="D316" s="80"/>
      <c r="E316" s="81"/>
      <c r="F316" s="81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75"/>
      <c r="AA316" s="75"/>
      <c r="AB316" s="75"/>
      <c r="AC316" s="75"/>
      <c r="AD316" s="166"/>
      <c r="AE316" s="166"/>
      <c r="AF316" s="166"/>
      <c r="AG316" s="166"/>
      <c r="AH316" s="166"/>
      <c r="AI316" s="75"/>
      <c r="AJ316" s="76">
        <f t="shared" si="24"/>
        <v>0</v>
      </c>
      <c r="AK316" s="562"/>
    </row>
    <row r="317" spans="2:37" s="83" customFormat="1" hidden="1">
      <c r="B317" s="79" t="s">
        <v>65</v>
      </c>
      <c r="C317" s="79"/>
      <c r="D317" s="80"/>
      <c r="E317" s="81"/>
      <c r="F317" s="81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75"/>
      <c r="AA317" s="75"/>
      <c r="AB317" s="75"/>
      <c r="AC317" s="75"/>
      <c r="AD317" s="166"/>
      <c r="AE317" s="166"/>
      <c r="AF317" s="166"/>
      <c r="AG317" s="166"/>
      <c r="AH317" s="166"/>
      <c r="AI317" s="75"/>
      <c r="AJ317" s="76">
        <f t="shared" si="24"/>
        <v>0</v>
      </c>
      <c r="AK317" s="562"/>
    </row>
    <row r="318" spans="2:37" s="83" customFormat="1" hidden="1">
      <c r="B318" s="79" t="s">
        <v>65</v>
      </c>
      <c r="C318" s="79"/>
      <c r="D318" s="80"/>
      <c r="E318" s="81"/>
      <c r="F318" s="81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75"/>
      <c r="AA318" s="75"/>
      <c r="AB318" s="75"/>
      <c r="AC318" s="75"/>
      <c r="AD318" s="166"/>
      <c r="AE318" s="166"/>
      <c r="AF318" s="166"/>
      <c r="AG318" s="166"/>
      <c r="AH318" s="166"/>
      <c r="AI318" s="75"/>
      <c r="AJ318" s="76">
        <f t="shared" si="24"/>
        <v>0</v>
      </c>
      <c r="AK318" s="562"/>
    </row>
    <row r="319" spans="2:37" s="83" customFormat="1" hidden="1">
      <c r="B319" s="79" t="s">
        <v>65</v>
      </c>
      <c r="C319" s="79"/>
      <c r="D319" s="80"/>
      <c r="E319" s="81"/>
      <c r="F319" s="81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75"/>
      <c r="AA319" s="75"/>
      <c r="AB319" s="75"/>
      <c r="AC319" s="75"/>
      <c r="AD319" s="166"/>
      <c r="AE319" s="166"/>
      <c r="AF319" s="166"/>
      <c r="AG319" s="166"/>
      <c r="AH319" s="166"/>
      <c r="AI319" s="75"/>
      <c r="AJ319" s="76">
        <f t="shared" si="24"/>
        <v>0</v>
      </c>
      <c r="AK319" s="562"/>
    </row>
    <row r="320" spans="2:37" s="83" customFormat="1" hidden="1">
      <c r="B320" s="79" t="s">
        <v>65</v>
      </c>
      <c r="C320" s="79"/>
      <c r="D320" s="80"/>
      <c r="E320" s="81"/>
      <c r="F320" s="81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75"/>
      <c r="AA320" s="75"/>
      <c r="AB320" s="75"/>
      <c r="AC320" s="75"/>
      <c r="AD320" s="166"/>
      <c r="AE320" s="166"/>
      <c r="AF320" s="166"/>
      <c r="AG320" s="166"/>
      <c r="AH320" s="166"/>
      <c r="AI320" s="75"/>
      <c r="AJ320" s="76">
        <f t="shared" si="24"/>
        <v>0</v>
      </c>
      <c r="AK320" s="562"/>
    </row>
    <row r="321" spans="2:37" s="83" customFormat="1" hidden="1">
      <c r="B321" s="79" t="s">
        <v>65</v>
      </c>
      <c r="C321" s="79"/>
      <c r="D321" s="80"/>
      <c r="E321" s="81"/>
      <c r="F321" s="81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75"/>
      <c r="AA321" s="75"/>
      <c r="AB321" s="75"/>
      <c r="AC321" s="75"/>
      <c r="AD321" s="166"/>
      <c r="AE321" s="166"/>
      <c r="AF321" s="166"/>
      <c r="AG321" s="166"/>
      <c r="AH321" s="166"/>
      <c r="AI321" s="75"/>
      <c r="AJ321" s="76">
        <f t="shared" ref="AJ321:AJ327" si="25">SUM(H321:AI321)</f>
        <v>0</v>
      </c>
      <c r="AK321" s="562"/>
    </row>
    <row r="322" spans="2:37" s="83" customFormat="1" hidden="1">
      <c r="B322" s="79" t="s">
        <v>65</v>
      </c>
      <c r="C322" s="79"/>
      <c r="D322" s="80"/>
      <c r="E322" s="81"/>
      <c r="F322" s="81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75"/>
      <c r="AA322" s="75"/>
      <c r="AB322" s="75"/>
      <c r="AC322" s="75"/>
      <c r="AD322" s="166"/>
      <c r="AE322" s="166"/>
      <c r="AF322" s="166"/>
      <c r="AG322" s="166"/>
      <c r="AH322" s="166"/>
      <c r="AI322" s="75"/>
      <c r="AJ322" s="76">
        <f t="shared" si="25"/>
        <v>0</v>
      </c>
      <c r="AK322" s="562"/>
    </row>
    <row r="323" spans="2:37" s="83" customFormat="1" hidden="1">
      <c r="B323" s="79" t="s">
        <v>65</v>
      </c>
      <c r="C323" s="79"/>
      <c r="D323" s="80"/>
      <c r="E323" s="81"/>
      <c r="F323" s="81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75"/>
      <c r="AA323" s="75"/>
      <c r="AB323" s="75"/>
      <c r="AC323" s="75"/>
      <c r="AD323" s="166"/>
      <c r="AE323" s="166"/>
      <c r="AF323" s="166"/>
      <c r="AG323" s="166"/>
      <c r="AH323" s="166"/>
      <c r="AI323" s="75"/>
      <c r="AJ323" s="76">
        <f t="shared" si="25"/>
        <v>0</v>
      </c>
      <c r="AK323" s="562"/>
    </row>
    <row r="324" spans="2:37" s="83" customFormat="1" hidden="1">
      <c r="B324" s="79" t="s">
        <v>65</v>
      </c>
      <c r="C324" s="79"/>
      <c r="D324" s="80"/>
      <c r="E324" s="81"/>
      <c r="F324" s="81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75"/>
      <c r="AA324" s="75"/>
      <c r="AB324" s="75"/>
      <c r="AC324" s="75"/>
      <c r="AD324" s="166"/>
      <c r="AE324" s="166"/>
      <c r="AF324" s="166"/>
      <c r="AG324" s="166"/>
      <c r="AH324" s="166"/>
      <c r="AI324" s="75"/>
      <c r="AJ324" s="76">
        <f t="shared" si="25"/>
        <v>0</v>
      </c>
      <c r="AK324" s="562"/>
    </row>
    <row r="325" spans="2:37" s="83" customFormat="1" hidden="1">
      <c r="B325" s="79" t="s">
        <v>65</v>
      </c>
      <c r="C325" s="79"/>
      <c r="D325" s="80"/>
      <c r="E325" s="81"/>
      <c r="F325" s="81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75"/>
      <c r="AA325" s="75"/>
      <c r="AB325" s="75"/>
      <c r="AC325" s="75"/>
      <c r="AD325" s="166"/>
      <c r="AE325" s="166"/>
      <c r="AF325" s="166"/>
      <c r="AG325" s="166"/>
      <c r="AH325" s="166"/>
      <c r="AI325" s="75"/>
      <c r="AJ325" s="76">
        <f t="shared" si="25"/>
        <v>0</v>
      </c>
      <c r="AK325" s="562"/>
    </row>
    <row r="326" spans="2:37" s="83" customFormat="1" hidden="1">
      <c r="B326" s="79" t="s">
        <v>65</v>
      </c>
      <c r="C326" s="79"/>
      <c r="D326" s="80"/>
      <c r="E326" s="81"/>
      <c r="F326" s="81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75"/>
      <c r="AA326" s="75"/>
      <c r="AB326" s="75"/>
      <c r="AC326" s="75"/>
      <c r="AD326" s="166"/>
      <c r="AE326" s="166"/>
      <c r="AF326" s="166"/>
      <c r="AG326" s="166"/>
      <c r="AH326" s="166"/>
      <c r="AI326" s="75"/>
      <c r="AJ326" s="76">
        <f t="shared" si="25"/>
        <v>0</v>
      </c>
      <c r="AK326" s="562"/>
    </row>
    <row r="327" spans="2:37" s="83" customFormat="1" hidden="1">
      <c r="B327" s="79" t="s">
        <v>65</v>
      </c>
      <c r="C327" s="79"/>
      <c r="D327" s="80"/>
      <c r="E327" s="81"/>
      <c r="F327" s="81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75"/>
      <c r="AA327" s="75"/>
      <c r="AB327" s="75"/>
      <c r="AC327" s="75"/>
      <c r="AD327" s="166"/>
      <c r="AE327" s="166"/>
      <c r="AF327" s="166"/>
      <c r="AG327" s="166"/>
      <c r="AH327" s="166"/>
      <c r="AI327" s="75"/>
      <c r="AJ327" s="76">
        <f t="shared" si="25"/>
        <v>0</v>
      </c>
      <c r="AK327" s="562"/>
    </row>
    <row r="328" spans="2:37" s="83" customFormat="1" hidden="1">
      <c r="B328" s="79" t="s">
        <v>65</v>
      </c>
      <c r="C328" s="79"/>
      <c r="D328" s="80"/>
      <c r="E328" s="81"/>
      <c r="F328" s="81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75"/>
      <c r="AA328" s="75"/>
      <c r="AB328" s="75"/>
      <c r="AC328" s="75"/>
      <c r="AD328" s="166"/>
      <c r="AE328" s="166"/>
      <c r="AF328" s="166"/>
      <c r="AG328" s="166"/>
      <c r="AH328" s="166"/>
      <c r="AI328" s="75"/>
      <c r="AJ328" s="76">
        <f t="shared" ref="AJ328:AJ342" si="26">SUM(H328:AI328)</f>
        <v>0</v>
      </c>
      <c r="AK328" s="562"/>
    </row>
    <row r="329" spans="2:37" s="83" customFormat="1" hidden="1">
      <c r="B329" s="79" t="s">
        <v>65</v>
      </c>
      <c r="C329" s="79"/>
      <c r="D329" s="80"/>
      <c r="E329" s="81"/>
      <c r="F329" s="81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75"/>
      <c r="AA329" s="75"/>
      <c r="AB329" s="75"/>
      <c r="AC329" s="75"/>
      <c r="AD329" s="166"/>
      <c r="AE329" s="166"/>
      <c r="AF329" s="166"/>
      <c r="AG329" s="166"/>
      <c r="AH329" s="166"/>
      <c r="AI329" s="75"/>
      <c r="AJ329" s="76">
        <f t="shared" si="26"/>
        <v>0</v>
      </c>
      <c r="AK329" s="562"/>
    </row>
    <row r="330" spans="2:37" s="83" customFormat="1" hidden="1">
      <c r="B330" s="79" t="s">
        <v>65</v>
      </c>
      <c r="C330" s="79"/>
      <c r="D330" s="80"/>
      <c r="E330" s="81"/>
      <c r="F330" s="81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75"/>
      <c r="AA330" s="75"/>
      <c r="AB330" s="75"/>
      <c r="AC330" s="75"/>
      <c r="AD330" s="166"/>
      <c r="AE330" s="166"/>
      <c r="AF330" s="166"/>
      <c r="AG330" s="166"/>
      <c r="AH330" s="166"/>
      <c r="AI330" s="75"/>
      <c r="AJ330" s="76">
        <f t="shared" si="26"/>
        <v>0</v>
      </c>
      <c r="AK330" s="562"/>
    </row>
    <row r="331" spans="2:37" s="83" customFormat="1" hidden="1">
      <c r="B331" s="79" t="s">
        <v>65</v>
      </c>
      <c r="C331" s="79"/>
      <c r="D331" s="80"/>
      <c r="E331" s="81"/>
      <c r="F331" s="81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75"/>
      <c r="AA331" s="75"/>
      <c r="AB331" s="75"/>
      <c r="AC331" s="75"/>
      <c r="AD331" s="166"/>
      <c r="AE331" s="166"/>
      <c r="AF331" s="166"/>
      <c r="AG331" s="166"/>
      <c r="AH331" s="166"/>
      <c r="AI331" s="75"/>
      <c r="AJ331" s="76">
        <f t="shared" si="26"/>
        <v>0</v>
      </c>
      <c r="AK331" s="562"/>
    </row>
    <row r="332" spans="2:37" s="83" customFormat="1" hidden="1">
      <c r="B332" s="79" t="s">
        <v>65</v>
      </c>
      <c r="C332" s="79"/>
      <c r="D332" s="80"/>
      <c r="E332" s="81"/>
      <c r="F332" s="81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75"/>
      <c r="AA332" s="75"/>
      <c r="AB332" s="75"/>
      <c r="AC332" s="75"/>
      <c r="AD332" s="166"/>
      <c r="AE332" s="166"/>
      <c r="AF332" s="166"/>
      <c r="AG332" s="166"/>
      <c r="AH332" s="166"/>
      <c r="AI332" s="75"/>
      <c r="AJ332" s="76">
        <f t="shared" si="26"/>
        <v>0</v>
      </c>
      <c r="AK332" s="562"/>
    </row>
    <row r="333" spans="2:37" s="83" customFormat="1" hidden="1">
      <c r="B333" s="79" t="s">
        <v>65</v>
      </c>
      <c r="C333" s="79"/>
      <c r="D333" s="80"/>
      <c r="E333" s="81"/>
      <c r="F333" s="81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75"/>
      <c r="AA333" s="75"/>
      <c r="AB333" s="75"/>
      <c r="AC333" s="75"/>
      <c r="AD333" s="166"/>
      <c r="AE333" s="166"/>
      <c r="AF333" s="166"/>
      <c r="AG333" s="166"/>
      <c r="AH333" s="166"/>
      <c r="AI333" s="75"/>
      <c r="AJ333" s="76">
        <f t="shared" si="26"/>
        <v>0</v>
      </c>
      <c r="AK333" s="562"/>
    </row>
    <row r="334" spans="2:37" s="83" customFormat="1" hidden="1">
      <c r="B334" s="79" t="s">
        <v>65</v>
      </c>
      <c r="C334" s="79"/>
      <c r="D334" s="80"/>
      <c r="E334" s="81"/>
      <c r="F334" s="81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75"/>
      <c r="AA334" s="75"/>
      <c r="AB334" s="75"/>
      <c r="AC334" s="75"/>
      <c r="AD334" s="166"/>
      <c r="AE334" s="166"/>
      <c r="AF334" s="166"/>
      <c r="AG334" s="166"/>
      <c r="AH334" s="166"/>
      <c r="AI334" s="75"/>
      <c r="AJ334" s="76">
        <f t="shared" si="26"/>
        <v>0</v>
      </c>
      <c r="AK334" s="562"/>
    </row>
    <row r="335" spans="2:37" s="83" customFormat="1" hidden="1">
      <c r="B335" s="79" t="s">
        <v>65</v>
      </c>
      <c r="C335" s="79"/>
      <c r="D335" s="80"/>
      <c r="E335" s="81"/>
      <c r="F335" s="81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75"/>
      <c r="AA335" s="75"/>
      <c r="AB335" s="75"/>
      <c r="AC335" s="75"/>
      <c r="AD335" s="166"/>
      <c r="AE335" s="166"/>
      <c r="AF335" s="166"/>
      <c r="AG335" s="166"/>
      <c r="AH335" s="166"/>
      <c r="AI335" s="75"/>
      <c r="AJ335" s="76">
        <f t="shared" si="26"/>
        <v>0</v>
      </c>
      <c r="AK335" s="562"/>
    </row>
    <row r="336" spans="2:37" s="83" customFormat="1" hidden="1">
      <c r="B336" s="79" t="s">
        <v>65</v>
      </c>
      <c r="C336" s="79"/>
      <c r="D336" s="80"/>
      <c r="E336" s="81"/>
      <c r="F336" s="81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75"/>
      <c r="AA336" s="75"/>
      <c r="AB336" s="75"/>
      <c r="AC336" s="75"/>
      <c r="AD336" s="166"/>
      <c r="AE336" s="166"/>
      <c r="AF336" s="166"/>
      <c r="AG336" s="166"/>
      <c r="AH336" s="166"/>
      <c r="AI336" s="75"/>
      <c r="AJ336" s="76">
        <f t="shared" si="26"/>
        <v>0</v>
      </c>
      <c r="AK336" s="562"/>
    </row>
    <row r="337" spans="2:37" s="83" customFormat="1" hidden="1">
      <c r="B337" s="79" t="s">
        <v>65</v>
      </c>
      <c r="C337" s="79"/>
      <c r="D337" s="80"/>
      <c r="E337" s="81"/>
      <c r="F337" s="81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75"/>
      <c r="AA337" s="75"/>
      <c r="AB337" s="75"/>
      <c r="AC337" s="75"/>
      <c r="AD337" s="166"/>
      <c r="AE337" s="166"/>
      <c r="AF337" s="166"/>
      <c r="AG337" s="166"/>
      <c r="AH337" s="166"/>
      <c r="AI337" s="75"/>
      <c r="AJ337" s="76">
        <f t="shared" si="26"/>
        <v>0</v>
      </c>
      <c r="AK337" s="562"/>
    </row>
    <row r="338" spans="2:37" s="83" customFormat="1" hidden="1">
      <c r="B338" s="79" t="s">
        <v>65</v>
      </c>
      <c r="C338" s="79"/>
      <c r="D338" s="80"/>
      <c r="E338" s="81"/>
      <c r="F338" s="81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75"/>
      <c r="AA338" s="75"/>
      <c r="AB338" s="75"/>
      <c r="AC338" s="75"/>
      <c r="AD338" s="166"/>
      <c r="AE338" s="166"/>
      <c r="AF338" s="166"/>
      <c r="AG338" s="166"/>
      <c r="AH338" s="166"/>
      <c r="AI338" s="75"/>
      <c r="AJ338" s="76">
        <f t="shared" si="26"/>
        <v>0</v>
      </c>
      <c r="AK338" s="562"/>
    </row>
    <row r="339" spans="2:37" s="83" customFormat="1" ht="17" thickTop="1" thickBot="1">
      <c r="B339" s="79" t="s">
        <v>65</v>
      </c>
      <c r="C339" s="79"/>
      <c r="D339" s="80"/>
      <c r="E339" s="81"/>
      <c r="F339" s="81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75"/>
      <c r="AA339" s="75"/>
      <c r="AB339" s="75"/>
      <c r="AC339" s="75"/>
      <c r="AD339" s="166"/>
      <c r="AE339" s="166"/>
      <c r="AF339" s="166"/>
      <c r="AG339" s="166"/>
      <c r="AH339" s="166"/>
      <c r="AI339" s="75"/>
      <c r="AJ339" s="76">
        <f t="shared" si="26"/>
        <v>0</v>
      </c>
      <c r="AK339" s="562"/>
    </row>
    <row r="340" spans="2:37" s="83" customFormat="1" hidden="1">
      <c r="B340" s="79"/>
      <c r="C340" s="82"/>
      <c r="D340" s="81"/>
      <c r="E340" s="81"/>
      <c r="F340" s="81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75"/>
      <c r="AA340" s="75"/>
      <c r="AB340" s="75"/>
      <c r="AC340" s="75"/>
      <c r="AD340" s="166"/>
      <c r="AE340" s="166"/>
      <c r="AF340" s="166"/>
      <c r="AG340" s="166"/>
      <c r="AH340" s="166"/>
      <c r="AI340" s="75"/>
      <c r="AJ340" s="76">
        <f t="shared" si="26"/>
        <v>0</v>
      </c>
      <c r="AK340" s="191"/>
    </row>
    <row r="341" spans="2:37" s="83" customFormat="1" hidden="1">
      <c r="B341" s="79"/>
      <c r="C341" s="82"/>
      <c r="D341" s="81"/>
      <c r="E341" s="81"/>
      <c r="F341" s="81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75"/>
      <c r="AA341" s="75"/>
      <c r="AB341" s="75"/>
      <c r="AC341" s="75"/>
      <c r="AD341" s="166"/>
      <c r="AE341" s="166"/>
      <c r="AF341" s="166"/>
      <c r="AG341" s="166"/>
      <c r="AH341" s="166"/>
      <c r="AI341" s="75"/>
      <c r="AJ341" s="76">
        <f t="shared" si="26"/>
        <v>0</v>
      </c>
      <c r="AK341" s="191"/>
    </row>
    <row r="342" spans="2:37" s="83" customFormat="1" hidden="1">
      <c r="B342" s="79"/>
      <c r="C342" s="82"/>
      <c r="D342" s="81"/>
      <c r="E342" s="81"/>
      <c r="F342" s="81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75"/>
      <c r="AA342" s="75"/>
      <c r="AB342" s="75"/>
      <c r="AC342" s="75"/>
      <c r="AD342" s="166"/>
      <c r="AE342" s="166"/>
      <c r="AF342" s="166"/>
      <c r="AG342" s="166"/>
      <c r="AH342" s="166"/>
      <c r="AI342" s="75"/>
      <c r="AJ342" s="76">
        <f t="shared" si="26"/>
        <v>0</v>
      </c>
      <c r="AK342" s="191"/>
    </row>
    <row r="343" spans="2:37" s="83" customFormat="1" hidden="1">
      <c r="B343" s="79"/>
      <c r="C343" s="82"/>
      <c r="D343" s="81"/>
      <c r="E343" s="81"/>
      <c r="F343" s="81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75"/>
      <c r="AA343" s="75"/>
      <c r="AB343" s="75"/>
      <c r="AC343" s="75"/>
      <c r="AD343" s="166"/>
      <c r="AE343" s="166"/>
      <c r="AF343" s="166"/>
      <c r="AG343" s="166"/>
      <c r="AH343" s="166"/>
      <c r="AI343" s="75"/>
      <c r="AJ343" s="76">
        <f>SUM(H343:AI343)</f>
        <v>0</v>
      </c>
      <c r="AK343" s="562">
        <f>SUM(AJ343:AJ346)</f>
        <v>0</v>
      </c>
    </row>
    <row r="344" spans="2:37" s="83" customFormat="1" hidden="1">
      <c r="B344" s="79"/>
      <c r="C344" s="82"/>
      <c r="D344" s="81"/>
      <c r="E344" s="81"/>
      <c r="F344" s="81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75"/>
      <c r="AA344" s="75"/>
      <c r="AB344" s="75"/>
      <c r="AC344" s="75"/>
      <c r="AD344" s="166"/>
      <c r="AE344" s="166"/>
      <c r="AF344" s="166"/>
      <c r="AG344" s="166"/>
      <c r="AH344" s="166"/>
      <c r="AI344" s="75"/>
      <c r="AJ344" s="76">
        <f>SUM(H344:AI344)</f>
        <v>0</v>
      </c>
      <c r="AK344" s="562"/>
    </row>
    <row r="345" spans="2:37" s="83" customFormat="1" hidden="1">
      <c r="B345" s="79"/>
      <c r="C345" s="82"/>
      <c r="D345" s="81"/>
      <c r="E345" s="81"/>
      <c r="F345" s="81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75"/>
      <c r="AA345" s="75"/>
      <c r="AB345" s="75"/>
      <c r="AC345" s="75"/>
      <c r="AD345" s="166"/>
      <c r="AE345" s="166"/>
      <c r="AF345" s="166"/>
      <c r="AG345" s="166"/>
      <c r="AH345" s="166"/>
      <c r="AI345" s="75"/>
      <c r="AJ345" s="76">
        <f>SUM(H345:AI345)</f>
        <v>0</v>
      </c>
      <c r="AK345" s="562"/>
    </row>
    <row r="346" spans="2:37" s="83" customFormat="1" ht="16.5" hidden="1" thickBot="1">
      <c r="B346" s="79"/>
      <c r="C346" s="82"/>
      <c r="D346" s="81"/>
      <c r="E346" s="81"/>
      <c r="F346" s="81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75"/>
      <c r="AA346" s="75"/>
      <c r="AB346" s="75"/>
      <c r="AC346" s="75"/>
      <c r="AD346" s="166"/>
      <c r="AE346" s="166"/>
      <c r="AF346" s="166"/>
      <c r="AG346" s="166"/>
      <c r="AH346" s="166"/>
      <c r="AI346" s="75"/>
      <c r="AJ346" s="76">
        <f>SUM(H346:AI346)</f>
        <v>0</v>
      </c>
      <c r="AK346" s="563"/>
    </row>
    <row r="347" spans="2:37" s="83" customFormat="1" ht="16.5" hidden="1" thickBot="1">
      <c r="B347" s="79"/>
      <c r="C347" s="82"/>
      <c r="D347" s="81"/>
      <c r="E347" s="81"/>
      <c r="F347" s="81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75"/>
      <c r="AA347" s="75"/>
      <c r="AB347" s="75"/>
      <c r="AC347" s="75"/>
      <c r="AD347" s="166"/>
      <c r="AE347" s="166"/>
      <c r="AF347" s="166"/>
      <c r="AG347" s="166"/>
      <c r="AH347" s="166"/>
      <c r="AI347" s="75"/>
      <c r="AJ347" s="76">
        <f>SUM(H347:AI347)</f>
        <v>0</v>
      </c>
      <c r="AK347" s="219"/>
    </row>
    <row r="348" spans="2:37" s="83" customFormat="1" thickTop="1" thickBot="1">
      <c r="B348" s="92" t="s">
        <v>71</v>
      </c>
      <c r="C348" s="578" t="s">
        <v>72</v>
      </c>
      <c r="D348" s="578"/>
      <c r="E348" s="578"/>
      <c r="F348" s="578"/>
      <c r="G348" s="578"/>
      <c r="H348" s="93">
        <f t="shared" ref="H348:AK348" si="27">SUM(H189:H347)</f>
        <v>0</v>
      </c>
      <c r="I348" s="93">
        <f t="shared" si="27"/>
        <v>0</v>
      </c>
      <c r="J348" s="93">
        <f t="shared" si="27"/>
        <v>0</v>
      </c>
      <c r="K348" s="93">
        <f t="shared" si="27"/>
        <v>0</v>
      </c>
      <c r="L348" s="93">
        <f t="shared" si="27"/>
        <v>0</v>
      </c>
      <c r="M348" s="93">
        <f t="shared" si="27"/>
        <v>0</v>
      </c>
      <c r="N348" s="93">
        <f t="shared" si="27"/>
        <v>0</v>
      </c>
      <c r="O348" s="93">
        <f t="shared" si="27"/>
        <v>0</v>
      </c>
      <c r="P348" s="93">
        <f t="shared" si="27"/>
        <v>0</v>
      </c>
      <c r="Q348" s="93">
        <f t="shared" si="27"/>
        <v>0</v>
      </c>
      <c r="R348" s="93">
        <f t="shared" si="27"/>
        <v>0</v>
      </c>
      <c r="S348" s="93">
        <f t="shared" si="27"/>
        <v>0</v>
      </c>
      <c r="T348" s="93">
        <f t="shared" si="27"/>
        <v>0</v>
      </c>
      <c r="U348" s="93">
        <f t="shared" si="27"/>
        <v>0</v>
      </c>
      <c r="V348" s="93">
        <f t="shared" si="27"/>
        <v>0</v>
      </c>
      <c r="W348" s="93">
        <f t="shared" si="27"/>
        <v>0</v>
      </c>
      <c r="X348" s="93">
        <f t="shared" si="27"/>
        <v>0</v>
      </c>
      <c r="Y348" s="93">
        <f t="shared" si="27"/>
        <v>0</v>
      </c>
      <c r="Z348" s="93">
        <f t="shared" si="27"/>
        <v>0</v>
      </c>
      <c r="AA348" s="93">
        <f t="shared" si="27"/>
        <v>0</v>
      </c>
      <c r="AB348" s="93">
        <f t="shared" si="27"/>
        <v>0</v>
      </c>
      <c r="AC348" s="93">
        <f t="shared" si="27"/>
        <v>0</v>
      </c>
      <c r="AD348" s="93">
        <f t="shared" si="27"/>
        <v>0</v>
      </c>
      <c r="AE348" s="93">
        <f t="shared" si="27"/>
        <v>0</v>
      </c>
      <c r="AF348" s="93">
        <f t="shared" si="27"/>
        <v>0</v>
      </c>
      <c r="AG348" s="93">
        <f t="shared" si="27"/>
        <v>0</v>
      </c>
      <c r="AH348" s="93">
        <f t="shared" si="27"/>
        <v>0</v>
      </c>
      <c r="AI348" s="93">
        <f t="shared" si="27"/>
        <v>0</v>
      </c>
      <c r="AJ348" s="93">
        <f t="shared" si="27"/>
        <v>0</v>
      </c>
      <c r="AK348" s="93">
        <f t="shared" si="27"/>
        <v>0</v>
      </c>
    </row>
    <row r="349" spans="2:37" s="111" customFormat="1" thickTop="1" thickBot="1">
      <c r="B349" s="109" t="s">
        <v>71</v>
      </c>
      <c r="C349" s="581" t="s">
        <v>72</v>
      </c>
      <c r="D349" s="581"/>
      <c r="E349" s="581"/>
      <c r="F349" s="581"/>
      <c r="G349" s="581"/>
      <c r="H349" s="110">
        <f>H348</f>
        <v>0</v>
      </c>
      <c r="I349" s="576">
        <f>+I348+J348</f>
        <v>0</v>
      </c>
      <c r="J349" s="577"/>
      <c r="K349" s="110">
        <f>K348</f>
        <v>0</v>
      </c>
      <c r="L349" s="110">
        <f>L348</f>
        <v>0</v>
      </c>
      <c r="M349" s="110">
        <f>M348</f>
        <v>0</v>
      </c>
      <c r="N349" s="110">
        <f>N348</f>
        <v>0</v>
      </c>
      <c r="O349" s="110">
        <f>O348</f>
        <v>0</v>
      </c>
      <c r="P349" s="576">
        <f>+P348+Q348+R348+S348+T348+U348+V348</f>
        <v>0</v>
      </c>
      <c r="Q349" s="583"/>
      <c r="R349" s="583"/>
      <c r="S349" s="583"/>
      <c r="T349" s="583"/>
      <c r="U349" s="583"/>
      <c r="V349" s="577"/>
      <c r="W349" s="576">
        <f>+W348+X348+Y348</f>
        <v>0</v>
      </c>
      <c r="X349" s="583"/>
      <c r="Y349" s="577"/>
      <c r="Z349" s="110">
        <f>Z348</f>
        <v>0</v>
      </c>
      <c r="AA349" s="110">
        <f>AA348</f>
        <v>0</v>
      </c>
      <c r="AB349" s="110">
        <f>AB348</f>
        <v>0</v>
      </c>
      <c r="AC349" s="576">
        <f>+AC348+AD348+AE348</f>
        <v>0</v>
      </c>
      <c r="AD349" s="583"/>
      <c r="AE349" s="577"/>
      <c r="AF349" s="110">
        <f t="shared" ref="AF349:AK349" si="28">AF348</f>
        <v>0</v>
      </c>
      <c r="AG349" s="110">
        <f t="shared" si="28"/>
        <v>0</v>
      </c>
      <c r="AH349" s="110">
        <f t="shared" si="28"/>
        <v>0</v>
      </c>
      <c r="AI349" s="110">
        <f t="shared" si="28"/>
        <v>0</v>
      </c>
      <c r="AJ349" s="110">
        <f t="shared" si="28"/>
        <v>0</v>
      </c>
      <c r="AK349" s="110">
        <f t="shared" si="28"/>
        <v>0</v>
      </c>
    </row>
    <row r="350" spans="2:37" s="83" customFormat="1" hidden="1" thickTop="1" thickBot="1">
      <c r="B350" s="79" t="s">
        <v>75</v>
      </c>
      <c r="C350" s="79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75"/>
      <c r="AA350" s="75"/>
      <c r="AB350" s="75"/>
      <c r="AC350" s="75"/>
      <c r="AD350" s="75"/>
      <c r="AE350" s="75"/>
      <c r="AF350" s="75"/>
      <c r="AG350" s="75"/>
      <c r="AH350" s="75"/>
      <c r="AI350" s="75"/>
      <c r="AJ350" s="76">
        <f t="shared" ref="AJ350:AJ405" si="29">SUM(H350:AI350)</f>
        <v>0</v>
      </c>
      <c r="AK350" s="282"/>
    </row>
    <row r="351" spans="2:37" s="83" customFormat="1" ht="15" hidden="1">
      <c r="B351" s="79" t="s">
        <v>75</v>
      </c>
      <c r="C351" s="79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75"/>
      <c r="AA351" s="75"/>
      <c r="AB351" s="75"/>
      <c r="AC351" s="75"/>
      <c r="AD351" s="75"/>
      <c r="AE351" s="75"/>
      <c r="AF351" s="75"/>
      <c r="AG351" s="75"/>
      <c r="AH351" s="75"/>
      <c r="AI351" s="75"/>
      <c r="AJ351" s="76">
        <f t="shared" si="29"/>
        <v>0</v>
      </c>
      <c r="AK351" s="561">
        <f>SUM(AJ351:AJ356)</f>
        <v>0</v>
      </c>
    </row>
    <row r="352" spans="2:37" s="83" customFormat="1" ht="15" hidden="1">
      <c r="B352" s="79" t="s">
        <v>75</v>
      </c>
      <c r="C352" s="79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75"/>
      <c r="AA352" s="75"/>
      <c r="AB352" s="75"/>
      <c r="AC352" s="75"/>
      <c r="AD352" s="75"/>
      <c r="AE352" s="75"/>
      <c r="AF352" s="75"/>
      <c r="AG352" s="75"/>
      <c r="AH352" s="75"/>
      <c r="AI352" s="75"/>
      <c r="AJ352" s="76">
        <f t="shared" ref="AJ352:AJ376" si="30">SUM(H352:AI352)</f>
        <v>0</v>
      </c>
      <c r="AK352" s="562"/>
    </row>
    <row r="353" spans="2:37" s="83" customFormat="1" ht="15" hidden="1">
      <c r="B353" s="79" t="s">
        <v>75</v>
      </c>
      <c r="C353" s="79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75"/>
      <c r="AA353" s="75"/>
      <c r="AB353" s="75"/>
      <c r="AC353" s="75"/>
      <c r="AD353" s="75"/>
      <c r="AE353" s="75"/>
      <c r="AF353" s="75"/>
      <c r="AG353" s="75"/>
      <c r="AH353" s="75"/>
      <c r="AI353" s="75"/>
      <c r="AJ353" s="76">
        <f t="shared" si="30"/>
        <v>0</v>
      </c>
      <c r="AK353" s="562"/>
    </row>
    <row r="354" spans="2:37" s="83" customFormat="1" ht="15" hidden="1">
      <c r="B354" s="79" t="s">
        <v>75</v>
      </c>
      <c r="C354" s="79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75"/>
      <c r="AA354" s="75"/>
      <c r="AB354" s="75"/>
      <c r="AC354" s="75"/>
      <c r="AD354" s="75"/>
      <c r="AE354" s="75"/>
      <c r="AF354" s="75"/>
      <c r="AG354" s="75"/>
      <c r="AH354" s="75"/>
      <c r="AI354" s="75"/>
      <c r="AJ354" s="76">
        <f t="shared" si="30"/>
        <v>0</v>
      </c>
      <c r="AK354" s="562"/>
    </row>
    <row r="355" spans="2:37" s="83" customFormat="1" ht="15" hidden="1">
      <c r="B355" s="79" t="s">
        <v>75</v>
      </c>
      <c r="C355" s="79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75"/>
      <c r="AA355" s="75"/>
      <c r="AB355" s="75"/>
      <c r="AC355" s="75"/>
      <c r="AD355" s="75"/>
      <c r="AE355" s="75"/>
      <c r="AF355" s="75"/>
      <c r="AG355" s="75"/>
      <c r="AH355" s="75"/>
      <c r="AI355" s="75"/>
      <c r="AJ355" s="76">
        <f t="shared" si="30"/>
        <v>0</v>
      </c>
      <c r="AK355" s="562"/>
    </row>
    <row r="356" spans="2:37" s="83" customFormat="1" ht="15.5" hidden="1" thickBot="1">
      <c r="B356" s="79" t="s">
        <v>75</v>
      </c>
      <c r="C356" s="79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75"/>
      <c r="AA356" s="75"/>
      <c r="AB356" s="75"/>
      <c r="AC356" s="75"/>
      <c r="AD356" s="75"/>
      <c r="AE356" s="75"/>
      <c r="AF356" s="75"/>
      <c r="AG356" s="75"/>
      <c r="AH356" s="75"/>
      <c r="AI356" s="75"/>
      <c r="AJ356" s="76">
        <f t="shared" si="30"/>
        <v>0</v>
      </c>
      <c r="AK356" s="562"/>
    </row>
    <row r="357" spans="2:37" s="83" customFormat="1" ht="15.5" hidden="1" thickBot="1">
      <c r="B357" s="79" t="s">
        <v>75</v>
      </c>
      <c r="C357" s="79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75"/>
      <c r="AA357" s="75"/>
      <c r="AB357" s="75"/>
      <c r="AC357" s="75"/>
      <c r="AD357" s="75"/>
      <c r="AE357" s="75"/>
      <c r="AF357" s="75"/>
      <c r="AG357" s="75"/>
      <c r="AH357" s="75"/>
      <c r="AI357" s="75"/>
      <c r="AJ357" s="76">
        <f t="shared" si="30"/>
        <v>0</v>
      </c>
      <c r="AK357" s="297"/>
    </row>
    <row r="358" spans="2:37" s="83" customFormat="1" ht="15" hidden="1">
      <c r="B358" s="79" t="s">
        <v>75</v>
      </c>
      <c r="C358" s="79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75"/>
      <c r="AA358" s="75"/>
      <c r="AB358" s="75"/>
      <c r="AC358" s="75"/>
      <c r="AD358" s="75"/>
      <c r="AE358" s="75"/>
      <c r="AF358" s="75"/>
      <c r="AG358" s="75"/>
      <c r="AH358" s="75"/>
      <c r="AI358" s="75"/>
      <c r="AJ358" s="76">
        <f t="shared" si="30"/>
        <v>0</v>
      </c>
      <c r="AK358" s="561">
        <f>SUM(AJ358:AJ359)</f>
        <v>0</v>
      </c>
    </row>
    <row r="359" spans="2:37" s="83" customFormat="1" thickTop="1" thickBot="1">
      <c r="B359" s="79" t="s">
        <v>75</v>
      </c>
      <c r="C359" s="79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75"/>
      <c r="AA359" s="75"/>
      <c r="AB359" s="75"/>
      <c r="AC359" s="75"/>
      <c r="AD359" s="75"/>
      <c r="AE359" s="75"/>
      <c r="AF359" s="75"/>
      <c r="AG359" s="75"/>
      <c r="AH359" s="75"/>
      <c r="AI359" s="75"/>
      <c r="AJ359" s="76">
        <f t="shared" si="30"/>
        <v>0</v>
      </c>
      <c r="AK359" s="563"/>
    </row>
    <row r="360" spans="2:37" s="83" customFormat="1" ht="15.5" thickBot="1">
      <c r="B360" s="79" t="s">
        <v>75</v>
      </c>
      <c r="C360" s="79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75"/>
      <c r="AA360" s="75"/>
      <c r="AB360" s="75"/>
      <c r="AC360" s="75"/>
      <c r="AD360" s="75"/>
      <c r="AE360" s="75"/>
      <c r="AF360" s="75"/>
      <c r="AG360" s="75"/>
      <c r="AH360" s="75"/>
      <c r="AI360" s="75"/>
      <c r="AJ360" s="76">
        <f t="shared" si="30"/>
        <v>0</v>
      </c>
      <c r="AK360" s="368"/>
    </row>
    <row r="361" spans="2:37" s="83" customFormat="1" thickTop="1" thickBot="1">
      <c r="B361" s="92" t="s">
        <v>69</v>
      </c>
      <c r="C361" s="587" t="s">
        <v>70</v>
      </c>
      <c r="D361" s="588"/>
      <c r="E361" s="588"/>
      <c r="F361" s="588"/>
      <c r="G361" s="589"/>
      <c r="H361" s="93">
        <f>SUM(H350:H360)</f>
        <v>0</v>
      </c>
      <c r="I361" s="93">
        <f t="shared" ref="I361:AI361" si="31">SUM(I350:I360)</f>
        <v>0</v>
      </c>
      <c r="J361" s="93">
        <f t="shared" si="31"/>
        <v>0</v>
      </c>
      <c r="K361" s="93">
        <f t="shared" si="31"/>
        <v>0</v>
      </c>
      <c r="L361" s="93">
        <f t="shared" si="31"/>
        <v>0</v>
      </c>
      <c r="M361" s="93">
        <f t="shared" si="31"/>
        <v>0</v>
      </c>
      <c r="N361" s="93">
        <f t="shared" si="31"/>
        <v>0</v>
      </c>
      <c r="O361" s="93">
        <f t="shared" si="31"/>
        <v>0</v>
      </c>
      <c r="P361" s="93">
        <f t="shared" si="31"/>
        <v>0</v>
      </c>
      <c r="Q361" s="93">
        <f t="shared" si="31"/>
        <v>0</v>
      </c>
      <c r="R361" s="93">
        <f t="shared" si="31"/>
        <v>0</v>
      </c>
      <c r="S361" s="93">
        <f t="shared" si="31"/>
        <v>0</v>
      </c>
      <c r="T361" s="93">
        <f t="shared" si="31"/>
        <v>0</v>
      </c>
      <c r="U361" s="93">
        <f t="shared" si="31"/>
        <v>0</v>
      </c>
      <c r="V361" s="93">
        <f t="shared" si="31"/>
        <v>0</v>
      </c>
      <c r="W361" s="93">
        <f t="shared" si="31"/>
        <v>0</v>
      </c>
      <c r="X361" s="93">
        <f t="shared" si="31"/>
        <v>0</v>
      </c>
      <c r="Y361" s="93">
        <f t="shared" si="31"/>
        <v>0</v>
      </c>
      <c r="Z361" s="93">
        <f t="shared" si="31"/>
        <v>0</v>
      </c>
      <c r="AA361" s="93">
        <f t="shared" si="31"/>
        <v>0</v>
      </c>
      <c r="AB361" s="93">
        <f t="shared" si="31"/>
        <v>0</v>
      </c>
      <c r="AC361" s="93">
        <f t="shared" si="31"/>
        <v>0</v>
      </c>
      <c r="AD361" s="93">
        <f t="shared" si="31"/>
        <v>0</v>
      </c>
      <c r="AE361" s="93">
        <f t="shared" si="31"/>
        <v>0</v>
      </c>
      <c r="AF361" s="93">
        <f t="shared" si="31"/>
        <v>0</v>
      </c>
      <c r="AG361" s="93">
        <f>SUM(AG350:AG360)</f>
        <v>0</v>
      </c>
      <c r="AH361" s="93">
        <f>SUM(AH350:AH360)</f>
        <v>0</v>
      </c>
      <c r="AI361" s="93">
        <f t="shared" si="31"/>
        <v>0</v>
      </c>
      <c r="AJ361" s="93">
        <f>SUM(AJ350:AJ360)</f>
        <v>0</v>
      </c>
      <c r="AK361" s="93">
        <f>SUM(AK350:AK360)</f>
        <v>0</v>
      </c>
    </row>
    <row r="362" spans="2:37" s="111" customFormat="1" thickTop="1" thickBot="1">
      <c r="B362" s="109" t="s">
        <v>69</v>
      </c>
      <c r="C362" s="584" t="s">
        <v>70</v>
      </c>
      <c r="D362" s="585"/>
      <c r="E362" s="585"/>
      <c r="F362" s="585"/>
      <c r="G362" s="586"/>
      <c r="H362" s="110">
        <f>H361</f>
        <v>0</v>
      </c>
      <c r="I362" s="576">
        <f>+I361+J361</f>
        <v>0</v>
      </c>
      <c r="J362" s="577"/>
      <c r="K362" s="110">
        <f>K361</f>
        <v>0</v>
      </c>
      <c r="L362" s="110">
        <f>L361</f>
        <v>0</v>
      </c>
      <c r="M362" s="110">
        <f>M361</f>
        <v>0</v>
      </c>
      <c r="N362" s="110">
        <f>N361</f>
        <v>0</v>
      </c>
      <c r="O362" s="110">
        <f>O361</f>
        <v>0</v>
      </c>
      <c r="P362" s="576">
        <f>+P361+Q361+R361+S361+T361+U361+V361</f>
        <v>0</v>
      </c>
      <c r="Q362" s="583"/>
      <c r="R362" s="583"/>
      <c r="S362" s="583"/>
      <c r="T362" s="583"/>
      <c r="U362" s="583"/>
      <c r="V362" s="577"/>
      <c r="W362" s="576">
        <f>+W361+X361+Y361</f>
        <v>0</v>
      </c>
      <c r="X362" s="583"/>
      <c r="Y362" s="577"/>
      <c r="Z362" s="110">
        <f>Z361</f>
        <v>0</v>
      </c>
      <c r="AA362" s="110">
        <f>AA361</f>
        <v>0</v>
      </c>
      <c r="AB362" s="110">
        <f>AB361</f>
        <v>0</v>
      </c>
      <c r="AC362" s="576">
        <f>+AC361+AD361+AE361</f>
        <v>0</v>
      </c>
      <c r="AD362" s="583"/>
      <c r="AE362" s="577"/>
      <c r="AF362" s="110">
        <f t="shared" ref="AF362:AK362" si="32">AF361</f>
        <v>0</v>
      </c>
      <c r="AG362" s="110">
        <f t="shared" si="32"/>
        <v>0</v>
      </c>
      <c r="AH362" s="110">
        <f t="shared" si="32"/>
        <v>0</v>
      </c>
      <c r="AI362" s="110">
        <f t="shared" si="32"/>
        <v>0</v>
      </c>
      <c r="AJ362" s="110">
        <f t="shared" si="32"/>
        <v>0</v>
      </c>
      <c r="AK362" s="110">
        <f t="shared" si="32"/>
        <v>0</v>
      </c>
    </row>
    <row r="363" spans="2:37" s="83" customFormat="1" hidden="1" thickTop="1" thickBot="1">
      <c r="B363" s="79"/>
      <c r="C363" s="79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75"/>
      <c r="AA363" s="75"/>
      <c r="AB363" s="75"/>
      <c r="AC363" s="75"/>
      <c r="AD363" s="75"/>
      <c r="AE363" s="75"/>
      <c r="AF363" s="75"/>
      <c r="AG363" s="75"/>
      <c r="AH363" s="75"/>
      <c r="AI363" s="75"/>
      <c r="AJ363" s="76">
        <f t="shared" si="30"/>
        <v>0</v>
      </c>
      <c r="AK363" s="369"/>
    </row>
    <row r="364" spans="2:37" s="83" customFormat="1" ht="15" hidden="1">
      <c r="B364" s="79"/>
      <c r="C364" s="79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75"/>
      <c r="AA364" s="75"/>
      <c r="AB364" s="75"/>
      <c r="AC364" s="75"/>
      <c r="AD364" s="75"/>
      <c r="AE364" s="75"/>
      <c r="AF364" s="75"/>
      <c r="AG364" s="75"/>
      <c r="AH364" s="75"/>
      <c r="AI364" s="75"/>
      <c r="AJ364" s="76">
        <f t="shared" si="30"/>
        <v>0</v>
      </c>
      <c r="AK364" s="191"/>
    </row>
    <row r="365" spans="2:37" s="83" customFormat="1" ht="15" hidden="1">
      <c r="B365" s="79"/>
      <c r="C365" s="79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75"/>
      <c r="AA365" s="75"/>
      <c r="AB365" s="75"/>
      <c r="AC365" s="75"/>
      <c r="AD365" s="75"/>
      <c r="AE365" s="75"/>
      <c r="AF365" s="75"/>
      <c r="AG365" s="75"/>
      <c r="AH365" s="75"/>
      <c r="AI365" s="75"/>
      <c r="AJ365" s="76">
        <f t="shared" si="30"/>
        <v>0</v>
      </c>
      <c r="AK365" s="191"/>
    </row>
    <row r="366" spans="2:37" s="83" customFormat="1" ht="15" hidden="1">
      <c r="B366" s="79"/>
      <c r="C366" s="79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75"/>
      <c r="AA366" s="75"/>
      <c r="AB366" s="75"/>
      <c r="AC366" s="75"/>
      <c r="AD366" s="75"/>
      <c r="AE366" s="75"/>
      <c r="AF366" s="75"/>
      <c r="AG366" s="75"/>
      <c r="AH366" s="75"/>
      <c r="AI366" s="75"/>
      <c r="AJ366" s="76">
        <f t="shared" si="30"/>
        <v>0</v>
      </c>
      <c r="AK366" s="191"/>
    </row>
    <row r="367" spans="2:37" s="83" customFormat="1" ht="15" hidden="1">
      <c r="B367" s="79"/>
      <c r="C367" s="79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75"/>
      <c r="AA367" s="75"/>
      <c r="AB367" s="75"/>
      <c r="AC367" s="75"/>
      <c r="AD367" s="75"/>
      <c r="AE367" s="75"/>
      <c r="AF367" s="75"/>
      <c r="AG367" s="75"/>
      <c r="AH367" s="75"/>
      <c r="AI367" s="75"/>
      <c r="AJ367" s="76">
        <f t="shared" si="30"/>
        <v>0</v>
      </c>
      <c r="AK367" s="191"/>
    </row>
    <row r="368" spans="2:37" s="83" customFormat="1" ht="15" hidden="1">
      <c r="B368" s="79"/>
      <c r="C368" s="79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75"/>
      <c r="AA368" s="75"/>
      <c r="AB368" s="75"/>
      <c r="AC368" s="75"/>
      <c r="AD368" s="75"/>
      <c r="AE368" s="75"/>
      <c r="AF368" s="75"/>
      <c r="AG368" s="75"/>
      <c r="AH368" s="75"/>
      <c r="AI368" s="75"/>
      <c r="AJ368" s="76">
        <f t="shared" si="30"/>
        <v>0</v>
      </c>
      <c r="AK368" s="191"/>
    </row>
    <row r="369" spans="2:37" s="83" customFormat="1" ht="15" hidden="1">
      <c r="B369" s="79"/>
      <c r="C369" s="79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75"/>
      <c r="AA369" s="75"/>
      <c r="AB369" s="75"/>
      <c r="AC369" s="75"/>
      <c r="AD369" s="75"/>
      <c r="AE369" s="75"/>
      <c r="AF369" s="75"/>
      <c r="AG369" s="75"/>
      <c r="AH369" s="75"/>
      <c r="AI369" s="75"/>
      <c r="AJ369" s="76">
        <f t="shared" si="30"/>
        <v>0</v>
      </c>
      <c r="AK369" s="191"/>
    </row>
    <row r="370" spans="2:37" s="83" customFormat="1" ht="15" hidden="1">
      <c r="B370" s="79"/>
      <c r="C370" s="79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75"/>
      <c r="AA370" s="75"/>
      <c r="AB370" s="75"/>
      <c r="AC370" s="75"/>
      <c r="AD370" s="75"/>
      <c r="AE370" s="75"/>
      <c r="AF370" s="75"/>
      <c r="AG370" s="75"/>
      <c r="AH370" s="75"/>
      <c r="AI370" s="75"/>
      <c r="AJ370" s="76">
        <f t="shared" si="30"/>
        <v>0</v>
      </c>
      <c r="AK370" s="191"/>
    </row>
    <row r="371" spans="2:37" s="83" customFormat="1" ht="15.5" hidden="1" thickBot="1">
      <c r="B371" s="79"/>
      <c r="C371" s="79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75"/>
      <c r="AA371" s="75"/>
      <c r="AB371" s="75"/>
      <c r="AC371" s="75"/>
      <c r="AD371" s="75"/>
      <c r="AE371" s="75"/>
      <c r="AF371" s="75"/>
      <c r="AG371" s="75"/>
      <c r="AH371" s="75"/>
      <c r="AI371" s="75"/>
      <c r="AJ371" s="76">
        <f t="shared" si="30"/>
        <v>0</v>
      </c>
      <c r="AK371" s="231"/>
    </row>
    <row r="372" spans="2:37" s="83" customFormat="1" ht="15" hidden="1">
      <c r="B372" s="79"/>
      <c r="C372" s="79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75"/>
      <c r="AA372" s="75"/>
      <c r="AB372" s="75"/>
      <c r="AC372" s="75"/>
      <c r="AD372" s="75"/>
      <c r="AE372" s="75"/>
      <c r="AF372" s="75"/>
      <c r="AG372" s="75"/>
      <c r="AH372" s="75"/>
      <c r="AI372" s="75"/>
      <c r="AJ372" s="76">
        <f t="shared" si="30"/>
        <v>0</v>
      </c>
      <c r="AK372" s="561">
        <f>SUM(AJ372:AJ398)</f>
        <v>0</v>
      </c>
    </row>
    <row r="373" spans="2:37" s="83" customFormat="1" ht="15" hidden="1">
      <c r="B373" s="79"/>
      <c r="C373" s="79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6">
        <f t="shared" si="30"/>
        <v>0</v>
      </c>
      <c r="AK373" s="562"/>
    </row>
    <row r="374" spans="2:37" s="83" customFormat="1" ht="15" hidden="1">
      <c r="B374" s="79"/>
      <c r="C374" s="79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6">
        <f t="shared" si="30"/>
        <v>0</v>
      </c>
      <c r="AK374" s="562"/>
    </row>
    <row r="375" spans="2:37" s="83" customFormat="1" ht="15" hidden="1">
      <c r="B375" s="79"/>
      <c r="C375" s="79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6">
        <f t="shared" si="30"/>
        <v>0</v>
      </c>
      <c r="AK375" s="562"/>
    </row>
    <row r="376" spans="2:37" s="83" customFormat="1" ht="15" hidden="1">
      <c r="B376" s="79"/>
      <c r="C376" s="79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6">
        <f t="shared" si="30"/>
        <v>0</v>
      </c>
      <c r="AK376" s="562"/>
    </row>
    <row r="377" spans="2:37" s="83" customFormat="1" ht="15" hidden="1">
      <c r="B377" s="79"/>
      <c r="C377" s="79"/>
      <c r="D377" s="80"/>
      <c r="E377" s="91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6">
        <f t="shared" si="29"/>
        <v>0</v>
      </c>
      <c r="AK377" s="562"/>
    </row>
    <row r="378" spans="2:37" s="83" customFormat="1" ht="15" hidden="1">
      <c r="B378" s="79"/>
      <c r="C378" s="79"/>
      <c r="D378" s="80"/>
      <c r="E378" s="81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75"/>
      <c r="AA378" s="75"/>
      <c r="AB378" s="75"/>
      <c r="AC378" s="75"/>
      <c r="AD378" s="75"/>
      <c r="AE378" s="75"/>
      <c r="AF378" s="75"/>
      <c r="AG378" s="75"/>
      <c r="AH378" s="75"/>
      <c r="AI378" s="75"/>
      <c r="AJ378" s="76">
        <f t="shared" si="29"/>
        <v>0</v>
      </c>
      <c r="AK378" s="562"/>
    </row>
    <row r="379" spans="2:37" s="83" customFormat="1" ht="15" hidden="1">
      <c r="B379" s="79"/>
      <c r="C379" s="79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75"/>
      <c r="AA379" s="75"/>
      <c r="AB379" s="75"/>
      <c r="AC379" s="75"/>
      <c r="AD379" s="75"/>
      <c r="AE379" s="75"/>
      <c r="AF379" s="75"/>
      <c r="AG379" s="75"/>
      <c r="AH379" s="75"/>
      <c r="AI379" s="75"/>
      <c r="AJ379" s="76">
        <f t="shared" si="29"/>
        <v>0</v>
      </c>
      <c r="AK379" s="562"/>
    </row>
    <row r="380" spans="2:37" s="83" customFormat="1" ht="15" hidden="1">
      <c r="B380" s="79"/>
      <c r="C380" s="79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75"/>
      <c r="AA380" s="75"/>
      <c r="AB380" s="75"/>
      <c r="AC380" s="75"/>
      <c r="AD380" s="75"/>
      <c r="AE380" s="75"/>
      <c r="AF380" s="75"/>
      <c r="AG380" s="75"/>
      <c r="AH380" s="75"/>
      <c r="AI380" s="75"/>
      <c r="AJ380" s="76">
        <f t="shared" si="29"/>
        <v>0</v>
      </c>
      <c r="AK380" s="562"/>
    </row>
    <row r="381" spans="2:37" s="83" customFormat="1" ht="15" hidden="1">
      <c r="B381" s="79"/>
      <c r="C381" s="79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75"/>
      <c r="AA381" s="75"/>
      <c r="AB381" s="75"/>
      <c r="AC381" s="75"/>
      <c r="AD381" s="75"/>
      <c r="AE381" s="75"/>
      <c r="AF381" s="75"/>
      <c r="AG381" s="75"/>
      <c r="AH381" s="75"/>
      <c r="AI381" s="75"/>
      <c r="AJ381" s="76">
        <f t="shared" si="29"/>
        <v>0</v>
      </c>
      <c r="AK381" s="562"/>
    </row>
    <row r="382" spans="2:37" s="83" customFormat="1" ht="15" hidden="1">
      <c r="B382" s="79"/>
      <c r="C382" s="79"/>
      <c r="D382" s="80"/>
      <c r="E382" s="81"/>
      <c r="F382" s="81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75"/>
      <c r="AA382" s="75"/>
      <c r="AB382" s="75"/>
      <c r="AC382" s="75"/>
      <c r="AD382" s="75"/>
      <c r="AE382" s="75"/>
      <c r="AF382" s="75"/>
      <c r="AG382" s="75"/>
      <c r="AH382" s="75"/>
      <c r="AI382" s="75"/>
      <c r="AJ382" s="76">
        <f t="shared" si="29"/>
        <v>0</v>
      </c>
      <c r="AK382" s="562"/>
    </row>
    <row r="383" spans="2:37" s="83" customFormat="1" ht="15" hidden="1">
      <c r="B383" s="79"/>
      <c r="C383" s="79"/>
      <c r="D383" s="80"/>
      <c r="E383" s="81"/>
      <c r="F383" s="81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75"/>
      <c r="AA383" s="75"/>
      <c r="AB383" s="75"/>
      <c r="AC383" s="75"/>
      <c r="AD383" s="75"/>
      <c r="AE383" s="75"/>
      <c r="AF383" s="75"/>
      <c r="AG383" s="75"/>
      <c r="AH383" s="75"/>
      <c r="AI383" s="75"/>
      <c r="AJ383" s="76">
        <f t="shared" si="29"/>
        <v>0</v>
      </c>
      <c r="AK383" s="562"/>
    </row>
    <row r="384" spans="2:37" s="83" customFormat="1" ht="15" hidden="1">
      <c r="B384" s="79"/>
      <c r="C384" s="79"/>
      <c r="D384" s="80"/>
      <c r="E384" s="81"/>
      <c r="F384" s="81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75"/>
      <c r="AA384" s="75"/>
      <c r="AB384" s="75"/>
      <c r="AC384" s="75"/>
      <c r="AD384" s="75"/>
      <c r="AE384" s="75"/>
      <c r="AF384" s="75"/>
      <c r="AG384" s="75"/>
      <c r="AH384" s="75"/>
      <c r="AI384" s="75"/>
      <c r="AJ384" s="76">
        <f t="shared" si="29"/>
        <v>0</v>
      </c>
      <c r="AK384" s="562"/>
    </row>
    <row r="385" spans="2:37" s="83" customFormat="1" ht="15" hidden="1">
      <c r="B385" s="79"/>
      <c r="C385" s="79"/>
      <c r="D385" s="80"/>
      <c r="E385" s="81"/>
      <c r="F385" s="81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75"/>
      <c r="AA385" s="75"/>
      <c r="AB385" s="75"/>
      <c r="AC385" s="75"/>
      <c r="AD385" s="75"/>
      <c r="AE385" s="75"/>
      <c r="AF385" s="75"/>
      <c r="AG385" s="75"/>
      <c r="AH385" s="75"/>
      <c r="AI385" s="75"/>
      <c r="AJ385" s="76">
        <f t="shared" si="29"/>
        <v>0</v>
      </c>
      <c r="AK385" s="562"/>
    </row>
    <row r="386" spans="2:37" s="83" customFormat="1" ht="15" hidden="1">
      <c r="B386" s="79"/>
      <c r="C386" s="79"/>
      <c r="D386" s="80"/>
      <c r="E386" s="81"/>
      <c r="F386" s="81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75"/>
      <c r="AA386" s="75"/>
      <c r="AB386" s="75"/>
      <c r="AC386" s="75"/>
      <c r="AD386" s="75"/>
      <c r="AE386" s="75"/>
      <c r="AF386" s="75"/>
      <c r="AG386" s="75"/>
      <c r="AH386" s="75"/>
      <c r="AI386" s="75"/>
      <c r="AJ386" s="76">
        <f t="shared" si="29"/>
        <v>0</v>
      </c>
      <c r="AK386" s="562"/>
    </row>
    <row r="387" spans="2:37" s="83" customFormat="1" ht="15" hidden="1">
      <c r="B387" s="79"/>
      <c r="C387" s="79"/>
      <c r="D387" s="80"/>
      <c r="E387" s="81"/>
      <c r="F387" s="81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75"/>
      <c r="AA387" s="75"/>
      <c r="AB387" s="75"/>
      <c r="AC387" s="75"/>
      <c r="AD387" s="75"/>
      <c r="AE387" s="75"/>
      <c r="AF387" s="75"/>
      <c r="AG387" s="75"/>
      <c r="AH387" s="75"/>
      <c r="AI387" s="75"/>
      <c r="AJ387" s="76">
        <f t="shared" si="29"/>
        <v>0</v>
      </c>
      <c r="AK387" s="562"/>
    </row>
    <row r="388" spans="2:37" s="83" customFormat="1" ht="15" hidden="1">
      <c r="B388" s="79"/>
      <c r="C388" s="79"/>
      <c r="D388" s="80"/>
      <c r="E388" s="81"/>
      <c r="F388" s="81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75"/>
      <c r="AA388" s="75"/>
      <c r="AB388" s="75"/>
      <c r="AC388" s="75"/>
      <c r="AD388" s="75"/>
      <c r="AE388" s="75"/>
      <c r="AF388" s="75"/>
      <c r="AG388" s="75"/>
      <c r="AH388" s="75"/>
      <c r="AI388" s="75"/>
      <c r="AJ388" s="76">
        <f t="shared" si="29"/>
        <v>0</v>
      </c>
      <c r="AK388" s="562"/>
    </row>
    <row r="389" spans="2:37" s="83" customFormat="1" ht="15" hidden="1">
      <c r="B389" s="79"/>
      <c r="C389" s="79"/>
      <c r="D389" s="80"/>
      <c r="E389" s="81"/>
      <c r="F389" s="81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75"/>
      <c r="AA389" s="75"/>
      <c r="AB389" s="75"/>
      <c r="AC389" s="75"/>
      <c r="AD389" s="75"/>
      <c r="AE389" s="75"/>
      <c r="AF389" s="75"/>
      <c r="AG389" s="75"/>
      <c r="AH389" s="75"/>
      <c r="AI389" s="75"/>
      <c r="AJ389" s="76">
        <f t="shared" si="29"/>
        <v>0</v>
      </c>
      <c r="AK389" s="562"/>
    </row>
    <row r="390" spans="2:37" s="83" customFormat="1" ht="15" hidden="1">
      <c r="B390" s="79"/>
      <c r="C390" s="79"/>
      <c r="D390" s="80"/>
      <c r="E390" s="81"/>
      <c r="F390" s="81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75"/>
      <c r="AA390" s="75"/>
      <c r="AB390" s="75"/>
      <c r="AC390" s="75"/>
      <c r="AD390" s="75"/>
      <c r="AE390" s="75"/>
      <c r="AF390" s="75"/>
      <c r="AG390" s="75"/>
      <c r="AH390" s="75"/>
      <c r="AI390" s="75"/>
      <c r="AJ390" s="76">
        <f t="shared" si="29"/>
        <v>0</v>
      </c>
      <c r="AK390" s="562"/>
    </row>
    <row r="391" spans="2:37" s="83" customFormat="1" ht="15" hidden="1">
      <c r="B391" s="79"/>
      <c r="C391" s="79"/>
      <c r="D391" s="80"/>
      <c r="E391" s="81"/>
      <c r="F391" s="81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75"/>
      <c r="AA391" s="75"/>
      <c r="AB391" s="75"/>
      <c r="AC391" s="75"/>
      <c r="AD391" s="75"/>
      <c r="AE391" s="75"/>
      <c r="AF391" s="75"/>
      <c r="AG391" s="75"/>
      <c r="AH391" s="75"/>
      <c r="AI391" s="75"/>
      <c r="AJ391" s="76">
        <f t="shared" si="29"/>
        <v>0</v>
      </c>
      <c r="AK391" s="562"/>
    </row>
    <row r="392" spans="2:37" s="83" customFormat="1" ht="15" hidden="1">
      <c r="B392" s="79"/>
      <c r="C392" s="79"/>
      <c r="D392" s="80"/>
      <c r="E392" s="81"/>
      <c r="F392" s="81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75"/>
      <c r="AA392" s="75"/>
      <c r="AB392" s="75"/>
      <c r="AC392" s="75"/>
      <c r="AD392" s="75"/>
      <c r="AE392" s="75"/>
      <c r="AF392" s="75"/>
      <c r="AG392" s="75"/>
      <c r="AH392" s="75"/>
      <c r="AI392" s="75"/>
      <c r="AJ392" s="76">
        <f t="shared" si="29"/>
        <v>0</v>
      </c>
      <c r="AK392" s="562"/>
    </row>
    <row r="393" spans="2:37" s="83" customFormat="1" ht="15" hidden="1">
      <c r="B393" s="79"/>
      <c r="C393" s="79"/>
      <c r="D393" s="80"/>
      <c r="E393" s="81"/>
      <c r="F393" s="81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75"/>
      <c r="AA393" s="75"/>
      <c r="AB393" s="75"/>
      <c r="AC393" s="75"/>
      <c r="AD393" s="75"/>
      <c r="AE393" s="75"/>
      <c r="AF393" s="75"/>
      <c r="AG393" s="75"/>
      <c r="AH393" s="75"/>
      <c r="AI393" s="75"/>
      <c r="AJ393" s="76">
        <f t="shared" si="29"/>
        <v>0</v>
      </c>
      <c r="AK393" s="562"/>
    </row>
    <row r="394" spans="2:37" s="83" customFormat="1" ht="15" hidden="1">
      <c r="B394" s="79"/>
      <c r="C394" s="79"/>
      <c r="D394" s="80"/>
      <c r="E394" s="81"/>
      <c r="F394" s="81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75"/>
      <c r="AA394" s="75"/>
      <c r="AB394" s="75"/>
      <c r="AC394" s="75"/>
      <c r="AD394" s="75"/>
      <c r="AE394" s="75"/>
      <c r="AF394" s="75"/>
      <c r="AG394" s="75"/>
      <c r="AH394" s="75"/>
      <c r="AI394" s="75"/>
      <c r="AJ394" s="76">
        <f t="shared" si="29"/>
        <v>0</v>
      </c>
      <c r="AK394" s="562"/>
    </row>
    <row r="395" spans="2:37" s="83" customFormat="1" ht="15" hidden="1">
      <c r="B395" s="79"/>
      <c r="C395" s="79"/>
      <c r="D395" s="80"/>
      <c r="E395" s="81"/>
      <c r="F395" s="81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75"/>
      <c r="AA395" s="75"/>
      <c r="AB395" s="75"/>
      <c r="AC395" s="75"/>
      <c r="AD395" s="75"/>
      <c r="AE395" s="75"/>
      <c r="AF395" s="75"/>
      <c r="AG395" s="75"/>
      <c r="AH395" s="75"/>
      <c r="AI395" s="75"/>
      <c r="AJ395" s="76">
        <f t="shared" si="29"/>
        <v>0</v>
      </c>
      <c r="AK395" s="562"/>
    </row>
    <row r="396" spans="2:37" s="83" customFormat="1" ht="15" hidden="1">
      <c r="B396" s="79"/>
      <c r="C396" s="79"/>
      <c r="D396" s="80"/>
      <c r="E396" s="90"/>
      <c r="F396" s="81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75"/>
      <c r="AA396" s="75"/>
      <c r="AB396" s="75"/>
      <c r="AC396" s="75"/>
      <c r="AD396" s="75"/>
      <c r="AE396" s="75"/>
      <c r="AF396" s="75"/>
      <c r="AG396" s="75"/>
      <c r="AH396" s="75"/>
      <c r="AI396" s="75"/>
      <c r="AJ396" s="76">
        <f t="shared" si="29"/>
        <v>0</v>
      </c>
      <c r="AK396" s="562"/>
    </row>
    <row r="397" spans="2:37" s="83" customFormat="1" ht="15" hidden="1">
      <c r="B397" s="79"/>
      <c r="C397" s="79"/>
      <c r="D397" s="80"/>
      <c r="E397" s="81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75"/>
      <c r="AA397" s="75"/>
      <c r="AB397" s="75"/>
      <c r="AC397" s="75"/>
      <c r="AD397" s="75"/>
      <c r="AE397" s="75"/>
      <c r="AF397" s="75"/>
      <c r="AG397" s="75"/>
      <c r="AH397" s="75"/>
      <c r="AI397" s="75"/>
      <c r="AJ397" s="76">
        <f t="shared" si="29"/>
        <v>0</v>
      </c>
      <c r="AK397" s="562"/>
    </row>
    <row r="398" spans="2:37" s="83" customFormat="1" ht="15.5" hidden="1" thickBot="1">
      <c r="B398" s="79"/>
      <c r="C398" s="79"/>
      <c r="D398" s="80"/>
      <c r="E398" s="81"/>
      <c r="F398" s="81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75"/>
      <c r="AA398" s="75"/>
      <c r="AB398" s="75"/>
      <c r="AC398" s="75"/>
      <c r="AD398" s="75"/>
      <c r="AE398" s="75"/>
      <c r="AF398" s="75"/>
      <c r="AG398" s="75"/>
      <c r="AH398" s="75"/>
      <c r="AI398" s="75"/>
      <c r="AJ398" s="76">
        <f t="shared" si="29"/>
        <v>0</v>
      </c>
      <c r="AK398" s="563"/>
    </row>
    <row r="399" spans="2:37" s="83" customFormat="1" ht="15" hidden="1">
      <c r="B399" s="79"/>
      <c r="C399" s="82"/>
      <c r="D399" s="81"/>
      <c r="E399" s="81"/>
      <c r="F399" s="81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75"/>
      <c r="AA399" s="75"/>
      <c r="AB399" s="75"/>
      <c r="AC399" s="75"/>
      <c r="AD399" s="75"/>
      <c r="AE399" s="75"/>
      <c r="AF399" s="75"/>
      <c r="AG399" s="75"/>
      <c r="AH399" s="75"/>
      <c r="AI399" s="75"/>
      <c r="AJ399" s="76">
        <f t="shared" si="29"/>
        <v>0</v>
      </c>
      <c r="AK399" s="199"/>
    </row>
    <row r="400" spans="2:37" s="83" customFormat="1" ht="15" hidden="1">
      <c r="B400" s="79"/>
      <c r="C400" s="82"/>
      <c r="D400" s="81"/>
      <c r="E400" s="81"/>
      <c r="F400" s="81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75"/>
      <c r="AA400" s="75"/>
      <c r="AB400" s="75"/>
      <c r="AC400" s="75"/>
      <c r="AD400" s="75"/>
      <c r="AE400" s="75"/>
      <c r="AF400" s="75"/>
      <c r="AG400" s="75"/>
      <c r="AH400" s="75"/>
      <c r="AI400" s="75"/>
      <c r="AJ400" s="76">
        <f t="shared" si="29"/>
        <v>0</v>
      </c>
      <c r="AK400" s="191"/>
    </row>
    <row r="401" spans="2:40" s="83" customFormat="1" ht="15" hidden="1">
      <c r="B401" s="79"/>
      <c r="C401" s="82"/>
      <c r="D401" s="81"/>
      <c r="E401" s="81"/>
      <c r="F401" s="81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75"/>
      <c r="AA401" s="75"/>
      <c r="AB401" s="75"/>
      <c r="AC401" s="75"/>
      <c r="AD401" s="75"/>
      <c r="AE401" s="75"/>
      <c r="AF401" s="75"/>
      <c r="AG401" s="75"/>
      <c r="AH401" s="75"/>
      <c r="AI401" s="75"/>
      <c r="AJ401" s="76">
        <f t="shared" si="29"/>
        <v>0</v>
      </c>
      <c r="AK401" s="191"/>
    </row>
    <row r="402" spans="2:40" s="83" customFormat="1" ht="15.5" hidden="1" thickBot="1">
      <c r="B402" s="79"/>
      <c r="C402" s="82"/>
      <c r="D402" s="81"/>
      <c r="E402" s="81"/>
      <c r="F402" s="81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75"/>
      <c r="AA402" s="75"/>
      <c r="AB402" s="75"/>
      <c r="AC402" s="75"/>
      <c r="AD402" s="75"/>
      <c r="AE402" s="75"/>
      <c r="AF402" s="75"/>
      <c r="AG402" s="75"/>
      <c r="AH402" s="75"/>
      <c r="AI402" s="75"/>
      <c r="AJ402" s="76">
        <f t="shared" si="29"/>
        <v>0</v>
      </c>
      <c r="AK402" s="231"/>
    </row>
    <row r="403" spans="2:40" s="83" customFormat="1" ht="15.5" thickTop="1">
      <c r="B403" s="79"/>
      <c r="C403" s="82"/>
      <c r="D403" s="81"/>
      <c r="E403" s="81"/>
      <c r="F403" s="81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75"/>
      <c r="AA403" s="75"/>
      <c r="AB403" s="75"/>
      <c r="AC403" s="75"/>
      <c r="AD403" s="75"/>
      <c r="AE403" s="75"/>
      <c r="AF403" s="75"/>
      <c r="AG403" s="75"/>
      <c r="AH403" s="75"/>
      <c r="AI403" s="75"/>
      <c r="AJ403" s="76">
        <f t="shared" si="29"/>
        <v>0</v>
      </c>
      <c r="AK403" s="97"/>
    </row>
    <row r="404" spans="2:40" s="83" customFormat="1" ht="15">
      <c r="B404" s="79"/>
      <c r="C404" s="82"/>
      <c r="D404" s="81"/>
      <c r="E404" s="81"/>
      <c r="F404" s="81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75"/>
      <c r="AA404" s="75"/>
      <c r="AB404" s="75"/>
      <c r="AC404" s="75"/>
      <c r="AD404" s="75"/>
      <c r="AE404" s="75"/>
      <c r="AF404" s="75"/>
      <c r="AG404" s="75"/>
      <c r="AH404" s="75"/>
      <c r="AI404" s="75"/>
      <c r="AJ404" s="76">
        <f t="shared" si="29"/>
        <v>0</v>
      </c>
      <c r="AK404" s="77"/>
    </row>
    <row r="405" spans="2:40" s="83" customFormat="1" ht="15.5" thickBot="1">
      <c r="B405" s="79"/>
      <c r="C405" s="82"/>
      <c r="D405" s="81"/>
      <c r="E405" s="81"/>
      <c r="F405" s="81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75"/>
      <c r="AA405" s="75"/>
      <c r="AB405" s="75"/>
      <c r="AC405" s="75"/>
      <c r="AD405" s="75"/>
      <c r="AE405" s="75"/>
      <c r="AF405" s="75"/>
      <c r="AG405" s="75"/>
      <c r="AH405" s="75"/>
      <c r="AI405" s="75"/>
      <c r="AJ405" s="76">
        <f t="shared" si="29"/>
        <v>0</v>
      </c>
      <c r="AK405" s="77"/>
    </row>
    <row r="406" spans="2:40" s="83" customFormat="1" thickTop="1" thickBot="1">
      <c r="B406" s="92" t="s">
        <v>68</v>
      </c>
      <c r="C406" s="587" t="s">
        <v>67</v>
      </c>
      <c r="D406" s="588"/>
      <c r="E406" s="588"/>
      <c r="F406" s="588"/>
      <c r="G406" s="589"/>
      <c r="H406" s="93">
        <f t="shared" ref="H406:AK406" si="33">SUM(H350:H405)</f>
        <v>0</v>
      </c>
      <c r="I406" s="93">
        <f t="shared" si="33"/>
        <v>0</v>
      </c>
      <c r="J406" s="93">
        <f t="shared" si="33"/>
        <v>0</v>
      </c>
      <c r="K406" s="93">
        <f t="shared" si="33"/>
        <v>0</v>
      </c>
      <c r="L406" s="93">
        <f t="shared" si="33"/>
        <v>0</v>
      </c>
      <c r="M406" s="93">
        <f t="shared" si="33"/>
        <v>0</v>
      </c>
      <c r="N406" s="93">
        <f t="shared" si="33"/>
        <v>0</v>
      </c>
      <c r="O406" s="93">
        <f t="shared" si="33"/>
        <v>0</v>
      </c>
      <c r="P406" s="93">
        <f t="shared" si="33"/>
        <v>0</v>
      </c>
      <c r="Q406" s="93">
        <f t="shared" si="33"/>
        <v>0</v>
      </c>
      <c r="R406" s="93">
        <f t="shared" si="33"/>
        <v>0</v>
      </c>
      <c r="S406" s="93">
        <f t="shared" si="33"/>
        <v>0</v>
      </c>
      <c r="T406" s="93">
        <f t="shared" si="33"/>
        <v>0</v>
      </c>
      <c r="U406" s="93">
        <f t="shared" si="33"/>
        <v>0</v>
      </c>
      <c r="V406" s="93">
        <f t="shared" si="33"/>
        <v>0</v>
      </c>
      <c r="W406" s="93">
        <f t="shared" si="33"/>
        <v>0</v>
      </c>
      <c r="X406" s="93">
        <f t="shared" si="33"/>
        <v>0</v>
      </c>
      <c r="Y406" s="93">
        <f t="shared" si="33"/>
        <v>0</v>
      </c>
      <c r="Z406" s="93">
        <f t="shared" si="33"/>
        <v>0</v>
      </c>
      <c r="AA406" s="93">
        <f t="shared" si="33"/>
        <v>0</v>
      </c>
      <c r="AB406" s="93">
        <f t="shared" si="33"/>
        <v>0</v>
      </c>
      <c r="AC406" s="93">
        <f t="shared" si="33"/>
        <v>0</v>
      </c>
      <c r="AD406" s="93">
        <f t="shared" si="33"/>
        <v>0</v>
      </c>
      <c r="AE406" s="93">
        <f t="shared" si="33"/>
        <v>0</v>
      </c>
      <c r="AF406" s="93">
        <f t="shared" si="33"/>
        <v>0</v>
      </c>
      <c r="AG406" s="93">
        <f>SUM(AG350:AG405)</f>
        <v>0</v>
      </c>
      <c r="AH406" s="93">
        <f>SUM(AH350:AH405)</f>
        <v>0</v>
      </c>
      <c r="AI406" s="93">
        <f t="shared" si="33"/>
        <v>0</v>
      </c>
      <c r="AJ406" s="93">
        <f t="shared" si="33"/>
        <v>0</v>
      </c>
      <c r="AK406" s="93">
        <f t="shared" si="33"/>
        <v>0</v>
      </c>
    </row>
    <row r="407" spans="2:40" s="111" customFormat="1" thickTop="1" thickBot="1">
      <c r="B407" s="109" t="s">
        <v>68</v>
      </c>
      <c r="C407" s="584" t="s">
        <v>67</v>
      </c>
      <c r="D407" s="585"/>
      <c r="E407" s="585"/>
      <c r="F407" s="585"/>
      <c r="G407" s="586"/>
      <c r="H407" s="110">
        <f>H406</f>
        <v>0</v>
      </c>
      <c r="I407" s="576">
        <f>+I406+J406</f>
        <v>0</v>
      </c>
      <c r="J407" s="577"/>
      <c r="K407" s="110">
        <f>K406</f>
        <v>0</v>
      </c>
      <c r="L407" s="110">
        <f>L406</f>
        <v>0</v>
      </c>
      <c r="M407" s="110">
        <f>M406</f>
        <v>0</v>
      </c>
      <c r="N407" s="110">
        <f>N406</f>
        <v>0</v>
      </c>
      <c r="O407" s="110">
        <f>O406</f>
        <v>0</v>
      </c>
      <c r="P407" s="576">
        <f>+P406+Q406+R406+S406+T406+U406+V406</f>
        <v>0</v>
      </c>
      <c r="Q407" s="583"/>
      <c r="R407" s="583"/>
      <c r="S407" s="583"/>
      <c r="T407" s="583"/>
      <c r="U407" s="583"/>
      <c r="V407" s="577"/>
      <c r="W407" s="576">
        <f>+W406+X406+Y406</f>
        <v>0</v>
      </c>
      <c r="X407" s="583"/>
      <c r="Y407" s="577"/>
      <c r="Z407" s="110">
        <f>Z406</f>
        <v>0</v>
      </c>
      <c r="AA407" s="110">
        <f>AA406</f>
        <v>0</v>
      </c>
      <c r="AB407" s="110">
        <f>AB406</f>
        <v>0</v>
      </c>
      <c r="AC407" s="576">
        <f>+AC406+AD406+AE406</f>
        <v>0</v>
      </c>
      <c r="AD407" s="583"/>
      <c r="AE407" s="577"/>
      <c r="AF407" s="110">
        <f t="shared" ref="AF407:AK407" si="34">AF406</f>
        <v>0</v>
      </c>
      <c r="AG407" s="110">
        <f t="shared" si="34"/>
        <v>0</v>
      </c>
      <c r="AH407" s="110">
        <f t="shared" si="34"/>
        <v>0</v>
      </c>
      <c r="AI407" s="110">
        <f t="shared" si="34"/>
        <v>0</v>
      </c>
      <c r="AJ407" s="110">
        <f t="shared" si="34"/>
        <v>0</v>
      </c>
      <c r="AK407" s="110">
        <f t="shared" si="34"/>
        <v>0</v>
      </c>
    </row>
    <row r="408" spans="2:40" ht="16.5" thickTop="1"/>
    <row r="409" spans="2:40">
      <c r="H409" s="259">
        <f t="shared" ref="H409:AI409" si="35">SUM(H79+H187+H261+H348+H406)</f>
        <v>0</v>
      </c>
      <c r="I409" s="259">
        <f t="shared" si="35"/>
        <v>0</v>
      </c>
      <c r="J409" s="261">
        <f t="shared" si="35"/>
        <v>0</v>
      </c>
      <c r="K409" s="259">
        <f t="shared" si="35"/>
        <v>0</v>
      </c>
      <c r="L409" s="259">
        <f t="shared" si="35"/>
        <v>0</v>
      </c>
      <c r="M409" s="259">
        <f t="shared" si="35"/>
        <v>0</v>
      </c>
      <c r="N409" s="259">
        <f t="shared" si="35"/>
        <v>0</v>
      </c>
      <c r="O409" s="259">
        <f t="shared" si="35"/>
        <v>0</v>
      </c>
      <c r="P409" s="259">
        <f t="shared" si="35"/>
        <v>0</v>
      </c>
      <c r="Q409" s="259">
        <f t="shared" si="35"/>
        <v>0</v>
      </c>
      <c r="R409" s="259">
        <f t="shared" si="35"/>
        <v>0</v>
      </c>
      <c r="S409" s="259">
        <f t="shared" si="35"/>
        <v>0</v>
      </c>
      <c r="T409" s="259">
        <f t="shared" si="35"/>
        <v>0</v>
      </c>
      <c r="U409" s="259">
        <f t="shared" si="35"/>
        <v>0</v>
      </c>
      <c r="V409" s="259">
        <f t="shared" si="35"/>
        <v>0</v>
      </c>
      <c r="W409" s="259">
        <f t="shared" si="35"/>
        <v>0</v>
      </c>
      <c r="X409" s="259">
        <f t="shared" si="35"/>
        <v>0</v>
      </c>
      <c r="Y409" s="259">
        <f t="shared" si="35"/>
        <v>0</v>
      </c>
      <c r="Z409" s="259">
        <f t="shared" si="35"/>
        <v>0</v>
      </c>
      <c r="AA409" s="259">
        <f t="shared" si="35"/>
        <v>0</v>
      </c>
      <c r="AB409" s="259">
        <f t="shared" si="35"/>
        <v>0</v>
      </c>
      <c r="AC409" s="259">
        <f t="shared" si="35"/>
        <v>0</v>
      </c>
      <c r="AD409" s="259">
        <f t="shared" si="35"/>
        <v>0</v>
      </c>
      <c r="AE409" s="259">
        <f t="shared" si="35"/>
        <v>0</v>
      </c>
      <c r="AF409" s="259">
        <f t="shared" si="35"/>
        <v>0</v>
      </c>
      <c r="AG409" s="259">
        <f t="shared" si="35"/>
        <v>0</v>
      </c>
      <c r="AH409" s="259">
        <f t="shared" si="35"/>
        <v>0</v>
      </c>
      <c r="AI409" s="259">
        <f t="shared" si="35"/>
        <v>0</v>
      </c>
      <c r="AJ409" s="260"/>
      <c r="AK409" s="260"/>
      <c r="AL409" s="260"/>
      <c r="AM409" s="260"/>
      <c r="AN409" s="260"/>
    </row>
  </sheetData>
  <autoFilter ref="B4:AJ407" xr:uid="{00000000-0009-0000-0000-000003000000}"/>
  <mergeCells count="49">
    <mergeCell ref="AK372:AK398"/>
    <mergeCell ref="W407:Y407"/>
    <mergeCell ref="AC407:AE407"/>
    <mergeCell ref="AC349:AE349"/>
    <mergeCell ref="W349:Y349"/>
    <mergeCell ref="AK351:AK356"/>
    <mergeCell ref="AK358:AK359"/>
    <mergeCell ref="W362:Y362"/>
    <mergeCell ref="AC362:AE362"/>
    <mergeCell ref="C407:G407"/>
    <mergeCell ref="P407:V407"/>
    <mergeCell ref="I407:J407"/>
    <mergeCell ref="P349:V349"/>
    <mergeCell ref="C361:G361"/>
    <mergeCell ref="C362:G362"/>
    <mergeCell ref="I362:J362"/>
    <mergeCell ref="P362:V362"/>
    <mergeCell ref="C406:G406"/>
    <mergeCell ref="C349:G349"/>
    <mergeCell ref="I349:J349"/>
    <mergeCell ref="C348:G348"/>
    <mergeCell ref="AK189:AK339"/>
    <mergeCell ref="AK96:AK97"/>
    <mergeCell ref="AK98:AK99"/>
    <mergeCell ref="AK100:AK101"/>
    <mergeCell ref="AK102:AK103"/>
    <mergeCell ref="C187:G187"/>
    <mergeCell ref="C188:G188"/>
    <mergeCell ref="I188:J188"/>
    <mergeCell ref="AC188:AE188"/>
    <mergeCell ref="AK87:AK95"/>
    <mergeCell ref="P188:V188"/>
    <mergeCell ref="W188:Y188"/>
    <mergeCell ref="AK81:AK82"/>
    <mergeCell ref="AK343:AK346"/>
    <mergeCell ref="B2:AK2"/>
    <mergeCell ref="I80:J80"/>
    <mergeCell ref="C79:G79"/>
    <mergeCell ref="AK56:AK61"/>
    <mergeCell ref="C80:G80"/>
    <mergeCell ref="AK5:AK9"/>
    <mergeCell ref="AK10:AK16"/>
    <mergeCell ref="AK17:AK21"/>
    <mergeCell ref="AK22:AK27"/>
    <mergeCell ref="AK28:AK30"/>
    <mergeCell ref="AK31:AK34"/>
    <mergeCell ref="AC80:AE80"/>
    <mergeCell ref="W80:Y80"/>
    <mergeCell ref="P80:V80"/>
  </mergeCells>
  <pageMargins left="0" right="0" top="0" bottom="0" header="0" footer="0"/>
  <pageSetup paperSize="9" scale="55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FF0000"/>
  </sheetPr>
  <dimension ref="B2:AW1158"/>
  <sheetViews>
    <sheetView tabSelected="1" zoomScale="80" zoomScaleNormal="80" workbookViewId="0">
      <pane xSplit="8" ySplit="4" topLeftCell="I232" activePane="bottomRight" state="frozen"/>
      <selection pane="topRight" activeCell="F1" sqref="F1"/>
      <selection pane="bottomLeft" activeCell="A5" sqref="A5"/>
      <selection pane="bottomRight" activeCell="G244" sqref="G244"/>
    </sheetView>
  </sheetViews>
  <sheetFormatPr defaultColWidth="9.1796875" defaultRowHeight="16"/>
  <cols>
    <col min="1" max="1" width="1" style="71" customWidth="1"/>
    <col min="2" max="2" width="11" style="71" customWidth="1"/>
    <col min="3" max="3" width="9.453125" style="71" customWidth="1"/>
    <col min="4" max="4" width="6.26953125" style="71" customWidth="1"/>
    <col min="5" max="5" width="23.7265625" style="71" customWidth="1"/>
    <col min="6" max="6" width="24.26953125" style="71" customWidth="1"/>
    <col min="7" max="7" width="22" style="71" customWidth="1"/>
    <col min="8" max="8" width="6.453125" style="78" customWidth="1"/>
    <col min="9" max="9" width="9.1796875" style="78" customWidth="1"/>
    <col min="10" max="10" width="10.7265625" style="71" customWidth="1"/>
    <col min="11" max="11" width="9.7265625" style="71" customWidth="1"/>
    <col min="12" max="12" width="9.54296875" style="71" customWidth="1"/>
    <col min="13" max="13" width="9.26953125" style="71" customWidth="1"/>
    <col min="14" max="14" width="10.7265625" style="71" customWidth="1"/>
    <col min="15" max="15" width="9.1796875" style="71" customWidth="1"/>
    <col min="16" max="17" width="9.54296875" style="71" customWidth="1"/>
    <col min="18" max="18" width="9.81640625" style="71" customWidth="1"/>
    <col min="19" max="19" width="10.7265625" style="71" customWidth="1"/>
    <col min="20" max="20" width="9.453125" style="71" customWidth="1"/>
    <col min="21" max="21" width="9.54296875" style="71" customWidth="1"/>
    <col min="22" max="22" width="9.453125" style="71" customWidth="1"/>
    <col min="23" max="25" width="10.7265625" style="71" customWidth="1"/>
    <col min="26" max="26" width="8" style="71" customWidth="1"/>
    <col min="27" max="27" width="11.26953125" style="71" customWidth="1"/>
    <col min="28" max="28" width="10" style="71" customWidth="1"/>
    <col min="29" max="30" width="10.7265625" style="71" customWidth="1"/>
    <col min="31" max="31" width="9.7265625" style="71" customWidth="1"/>
    <col min="32" max="34" width="12.453125" style="71" customWidth="1"/>
    <col min="35" max="35" width="11.1796875" style="71" customWidth="1"/>
    <col min="36" max="36" width="11.453125" style="71" customWidth="1"/>
    <col min="37" max="37" width="12.54296875" style="71" customWidth="1"/>
    <col min="38" max="38" width="10.54296875" style="71" customWidth="1"/>
    <col min="39" max="39" width="9.453125" style="71" customWidth="1"/>
    <col min="40" max="40" width="9.54296875" style="71" customWidth="1"/>
    <col min="41" max="41" width="9.7265625" style="71" customWidth="1"/>
    <col min="42" max="42" width="10.1796875" style="71" customWidth="1"/>
    <col min="43" max="43" width="1.26953125" style="71" customWidth="1"/>
    <col min="44" max="44" width="17" style="71" customWidth="1"/>
    <col min="45" max="16384" width="9.1796875" style="71"/>
  </cols>
  <sheetData>
    <row r="2" spans="2:44" ht="25.5" customHeight="1">
      <c r="B2" s="565" t="s">
        <v>139</v>
      </c>
      <c r="C2" s="565"/>
      <c r="D2" s="565"/>
      <c r="E2" s="565"/>
      <c r="F2" s="295"/>
      <c r="G2" s="295"/>
      <c r="H2" s="295"/>
      <c r="I2" s="294"/>
      <c r="J2" s="294"/>
      <c r="K2" s="294"/>
      <c r="L2" s="294"/>
      <c r="M2" s="295"/>
      <c r="N2" s="294"/>
      <c r="O2" s="294"/>
      <c r="P2" s="295"/>
      <c r="Q2" s="295"/>
      <c r="R2" s="294"/>
      <c r="S2" s="294"/>
      <c r="T2" s="295"/>
      <c r="U2" s="294"/>
      <c r="V2" s="295"/>
      <c r="W2" s="294"/>
      <c r="X2" s="294"/>
      <c r="Y2" s="295"/>
      <c r="Z2" s="295"/>
      <c r="AA2" s="294"/>
      <c r="AB2" s="295"/>
      <c r="AC2" s="294"/>
      <c r="AD2" s="294"/>
      <c r="AE2" s="294"/>
      <c r="AF2" s="294"/>
      <c r="AG2" s="295"/>
      <c r="AH2" s="294"/>
      <c r="AI2" s="294"/>
      <c r="AJ2" s="294"/>
      <c r="AK2" s="294"/>
      <c r="AL2" s="294"/>
      <c r="AM2" s="294"/>
      <c r="AN2" s="295"/>
      <c r="AO2" s="295"/>
      <c r="AP2" s="295"/>
    </row>
    <row r="3" spans="2:44" ht="12" customHeight="1"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3"/>
    </row>
    <row r="4" spans="2:44" ht="30">
      <c r="B4" s="84" t="s">
        <v>50</v>
      </c>
      <c r="C4" s="84" t="s">
        <v>51</v>
      </c>
      <c r="D4" s="84" t="s">
        <v>48</v>
      </c>
      <c r="E4" s="84" t="s">
        <v>141</v>
      </c>
      <c r="F4" s="84" t="s">
        <v>52</v>
      </c>
      <c r="G4" s="84" t="s">
        <v>53</v>
      </c>
      <c r="H4" s="84" t="s">
        <v>54</v>
      </c>
      <c r="I4" s="84" t="s">
        <v>12</v>
      </c>
      <c r="J4" s="84" t="s">
        <v>86</v>
      </c>
      <c r="K4" s="84" t="s">
        <v>87</v>
      </c>
      <c r="L4" s="84" t="s">
        <v>22</v>
      </c>
      <c r="M4" s="84" t="s">
        <v>13</v>
      </c>
      <c r="N4" s="84" t="s">
        <v>15</v>
      </c>
      <c r="O4" s="84" t="s">
        <v>14</v>
      </c>
      <c r="P4" s="84" t="s">
        <v>47</v>
      </c>
      <c r="Q4" s="84" t="s">
        <v>93</v>
      </c>
      <c r="R4" s="84" t="s">
        <v>56</v>
      </c>
      <c r="S4" s="84" t="s">
        <v>138</v>
      </c>
      <c r="T4" s="84" t="s">
        <v>58</v>
      </c>
      <c r="U4" s="84" t="s">
        <v>91</v>
      </c>
      <c r="V4" s="84" t="s">
        <v>59</v>
      </c>
      <c r="W4" s="84" t="s">
        <v>93</v>
      </c>
      <c r="X4" s="84" t="s">
        <v>77</v>
      </c>
      <c r="Y4" s="84" t="s">
        <v>78</v>
      </c>
      <c r="Z4" s="84" t="s">
        <v>60</v>
      </c>
      <c r="AA4" s="84" t="s">
        <v>61</v>
      </c>
      <c r="AB4" s="84" t="s">
        <v>62</v>
      </c>
      <c r="AC4" s="85" t="s">
        <v>39</v>
      </c>
      <c r="AD4" s="84" t="s">
        <v>41</v>
      </c>
      <c r="AE4" s="84" t="s">
        <v>31</v>
      </c>
      <c r="AF4" s="85" t="s">
        <v>79</v>
      </c>
      <c r="AG4" s="84" t="s">
        <v>80</v>
      </c>
      <c r="AH4" s="84" t="s">
        <v>81</v>
      </c>
      <c r="AI4" s="84" t="s">
        <v>38</v>
      </c>
      <c r="AJ4" s="84" t="s">
        <v>40</v>
      </c>
      <c r="AK4" s="84" t="s">
        <v>85</v>
      </c>
      <c r="AL4" s="84" t="s">
        <v>134</v>
      </c>
      <c r="AM4" s="84" t="s">
        <v>94</v>
      </c>
      <c r="AN4" s="86" t="s">
        <v>82</v>
      </c>
      <c r="AO4" s="74" t="s">
        <v>16</v>
      </c>
      <c r="AP4" s="87" t="s">
        <v>21</v>
      </c>
    </row>
    <row r="5" spans="2:44" s="83" customFormat="1" ht="16.5" thickBot="1">
      <c r="B5" s="79" t="s">
        <v>64</v>
      </c>
      <c r="C5" s="496">
        <v>44743</v>
      </c>
      <c r="D5" s="497">
        <v>6</v>
      </c>
      <c r="E5" s="498" t="s">
        <v>143</v>
      </c>
      <c r="F5" s="497" t="s">
        <v>142</v>
      </c>
      <c r="G5" s="498" t="s">
        <v>146</v>
      </c>
      <c r="H5" s="497">
        <v>40</v>
      </c>
      <c r="I5" s="80"/>
      <c r="J5" s="80"/>
      <c r="K5" s="80">
        <v>0.5</v>
      </c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75"/>
      <c r="AD5" s="75"/>
      <c r="AE5" s="75"/>
      <c r="AF5" s="75"/>
      <c r="AG5" s="75"/>
      <c r="AH5" s="75"/>
      <c r="AI5" s="75"/>
      <c r="AJ5" s="75"/>
      <c r="AK5" s="75"/>
      <c r="AL5" s="166"/>
      <c r="AM5" s="166"/>
      <c r="AN5" s="166"/>
      <c r="AO5" s="193">
        <f>SUM(I5:AN5)</f>
        <v>0.5</v>
      </c>
      <c r="AP5" s="510">
        <v>0.5</v>
      </c>
      <c r="AR5" s="409" t="s">
        <v>115</v>
      </c>
    </row>
    <row r="6" spans="2:44" s="83" customFormat="1">
      <c r="B6" s="79" t="s">
        <v>64</v>
      </c>
      <c r="C6" s="79">
        <v>44746</v>
      </c>
      <c r="D6" s="80">
        <v>6</v>
      </c>
      <c r="E6" s="81" t="s">
        <v>143</v>
      </c>
      <c r="F6" s="80" t="s">
        <v>142</v>
      </c>
      <c r="G6" s="81" t="s">
        <v>146</v>
      </c>
      <c r="H6" s="410">
        <v>37</v>
      </c>
      <c r="I6" s="80"/>
      <c r="J6" s="80"/>
      <c r="K6" s="80"/>
      <c r="L6" s="80"/>
      <c r="M6" s="80"/>
      <c r="N6" s="80"/>
      <c r="O6" s="80"/>
      <c r="P6" s="80">
        <v>0.5</v>
      </c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75"/>
      <c r="AD6" s="75"/>
      <c r="AE6" s="75"/>
      <c r="AF6" s="75"/>
      <c r="AG6" s="75"/>
      <c r="AH6" s="75"/>
      <c r="AI6" s="75"/>
      <c r="AJ6" s="75"/>
      <c r="AK6" s="75"/>
      <c r="AL6" s="166"/>
      <c r="AM6" s="166"/>
      <c r="AN6" s="166"/>
      <c r="AO6" s="193">
        <f t="shared" ref="AO6:AO36" si="0">SUM(I6:AN6)</f>
        <v>0.5</v>
      </c>
      <c r="AP6" s="561">
        <f>SUM(AO6:AO8)</f>
        <v>2</v>
      </c>
      <c r="AR6" s="409"/>
    </row>
    <row r="7" spans="2:44" s="83" customFormat="1">
      <c r="B7" s="79" t="s">
        <v>64</v>
      </c>
      <c r="C7" s="79">
        <v>44746</v>
      </c>
      <c r="D7" s="80">
        <v>6</v>
      </c>
      <c r="E7" s="81" t="s">
        <v>143</v>
      </c>
      <c r="F7" s="80" t="s">
        <v>142</v>
      </c>
      <c r="G7" s="81" t="s">
        <v>146</v>
      </c>
      <c r="H7" s="442">
        <v>38</v>
      </c>
      <c r="I7" s="80"/>
      <c r="J7" s="80"/>
      <c r="K7" s="80"/>
      <c r="L7" s="80"/>
      <c r="M7" s="80"/>
      <c r="N7" s="80"/>
      <c r="O7" s="80"/>
      <c r="P7" s="80">
        <v>0.5</v>
      </c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75"/>
      <c r="AD7" s="75"/>
      <c r="AE7" s="75"/>
      <c r="AF7" s="75"/>
      <c r="AG7" s="75"/>
      <c r="AH7" s="75"/>
      <c r="AI7" s="75"/>
      <c r="AJ7" s="75"/>
      <c r="AK7" s="75"/>
      <c r="AL7" s="166"/>
      <c r="AM7" s="166"/>
      <c r="AN7" s="166"/>
      <c r="AO7" s="193">
        <f t="shared" si="0"/>
        <v>0.5</v>
      </c>
      <c r="AP7" s="562"/>
      <c r="AR7" s="409"/>
    </row>
    <row r="8" spans="2:44" s="83" customFormat="1" ht="16.5" thickBot="1">
      <c r="B8" s="79" t="s">
        <v>64</v>
      </c>
      <c r="C8" s="79">
        <v>44746</v>
      </c>
      <c r="D8" s="80">
        <v>6</v>
      </c>
      <c r="E8" s="81" t="s">
        <v>143</v>
      </c>
      <c r="F8" s="80" t="s">
        <v>142</v>
      </c>
      <c r="G8" s="81" t="s">
        <v>146</v>
      </c>
      <c r="H8" s="442">
        <v>39</v>
      </c>
      <c r="I8" s="80"/>
      <c r="J8" s="80"/>
      <c r="K8" s="80"/>
      <c r="L8" s="80"/>
      <c r="M8" s="80"/>
      <c r="N8" s="80"/>
      <c r="O8" s="80"/>
      <c r="P8" s="80"/>
      <c r="Q8" s="80">
        <v>1</v>
      </c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75"/>
      <c r="AD8" s="75"/>
      <c r="AE8" s="75"/>
      <c r="AF8" s="75"/>
      <c r="AG8" s="166"/>
      <c r="AH8" s="75"/>
      <c r="AI8" s="75"/>
      <c r="AJ8" s="75"/>
      <c r="AK8" s="75"/>
      <c r="AL8" s="166"/>
      <c r="AM8" s="166"/>
      <c r="AN8" s="166"/>
      <c r="AO8" s="193">
        <f t="shared" si="0"/>
        <v>1</v>
      </c>
      <c r="AP8" s="563"/>
      <c r="AR8" s="409"/>
    </row>
    <row r="9" spans="2:44" s="83" customFormat="1">
      <c r="B9" s="79" t="s">
        <v>64</v>
      </c>
      <c r="C9" s="79">
        <v>44747</v>
      </c>
      <c r="D9" s="80">
        <v>6</v>
      </c>
      <c r="E9" s="81" t="s">
        <v>143</v>
      </c>
      <c r="F9" s="80" t="s">
        <v>142</v>
      </c>
      <c r="G9" s="81" t="s">
        <v>146</v>
      </c>
      <c r="H9" s="410">
        <v>36</v>
      </c>
      <c r="I9" s="80"/>
      <c r="J9" s="80"/>
      <c r="K9" s="80"/>
      <c r="L9" s="80"/>
      <c r="M9" s="80"/>
      <c r="N9" s="80"/>
      <c r="O9" s="80"/>
      <c r="P9" s="80"/>
      <c r="Q9" s="80">
        <v>0.5</v>
      </c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75"/>
      <c r="AD9" s="75"/>
      <c r="AE9" s="75"/>
      <c r="AF9" s="75"/>
      <c r="AG9" s="166"/>
      <c r="AH9" s="75"/>
      <c r="AI9" s="75"/>
      <c r="AJ9" s="75"/>
      <c r="AK9" s="75"/>
      <c r="AL9" s="166"/>
      <c r="AM9" s="166"/>
      <c r="AN9" s="166"/>
      <c r="AO9" s="193">
        <f t="shared" si="0"/>
        <v>0.5</v>
      </c>
      <c r="AP9" s="561">
        <f>SUM(AO9:AO20)</f>
        <v>20</v>
      </c>
      <c r="AR9" s="409"/>
    </row>
    <row r="10" spans="2:44" s="83" customFormat="1">
      <c r="B10" s="79" t="s">
        <v>64</v>
      </c>
      <c r="C10" s="79">
        <v>44747</v>
      </c>
      <c r="D10" s="80">
        <v>6</v>
      </c>
      <c r="E10" s="81" t="s">
        <v>143</v>
      </c>
      <c r="F10" s="80" t="s">
        <v>142</v>
      </c>
      <c r="G10" s="81" t="s">
        <v>146</v>
      </c>
      <c r="H10" s="80">
        <v>37</v>
      </c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>
        <v>0.5</v>
      </c>
      <c r="V10" s="80"/>
      <c r="W10" s="80"/>
      <c r="X10" s="80"/>
      <c r="Y10" s="80"/>
      <c r="Z10" s="80"/>
      <c r="AA10" s="80"/>
      <c r="AB10" s="80"/>
      <c r="AC10" s="75"/>
      <c r="AD10" s="75"/>
      <c r="AE10" s="75"/>
      <c r="AF10" s="75"/>
      <c r="AG10" s="166"/>
      <c r="AH10" s="75"/>
      <c r="AI10" s="75"/>
      <c r="AJ10" s="75"/>
      <c r="AK10" s="75"/>
      <c r="AL10" s="166"/>
      <c r="AM10" s="166"/>
      <c r="AN10" s="166"/>
      <c r="AO10" s="193">
        <f t="shared" si="0"/>
        <v>0.5</v>
      </c>
      <c r="AP10" s="562"/>
      <c r="AR10" s="409"/>
    </row>
    <row r="11" spans="2:44" s="83" customFormat="1">
      <c r="B11" s="79" t="s">
        <v>64</v>
      </c>
      <c r="C11" s="79">
        <v>44747</v>
      </c>
      <c r="D11" s="80">
        <v>6</v>
      </c>
      <c r="E11" s="81" t="s">
        <v>143</v>
      </c>
      <c r="F11" s="80" t="s">
        <v>142</v>
      </c>
      <c r="G11" s="81" t="s">
        <v>146</v>
      </c>
      <c r="H11" s="80">
        <v>38</v>
      </c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>
        <v>0.5</v>
      </c>
      <c r="V11" s="80"/>
      <c r="W11" s="80"/>
      <c r="X11" s="80"/>
      <c r="Y11" s="80"/>
      <c r="Z11" s="80"/>
      <c r="AA11" s="80"/>
      <c r="AB11" s="80"/>
      <c r="AC11" s="75"/>
      <c r="AD11" s="75"/>
      <c r="AE11" s="75"/>
      <c r="AF11" s="75"/>
      <c r="AG11" s="166"/>
      <c r="AH11" s="75"/>
      <c r="AI11" s="75"/>
      <c r="AJ11" s="75"/>
      <c r="AK11" s="75"/>
      <c r="AL11" s="166"/>
      <c r="AM11" s="166"/>
      <c r="AN11" s="166"/>
      <c r="AO11" s="193">
        <f t="shared" si="0"/>
        <v>0.5</v>
      </c>
      <c r="AP11" s="562"/>
      <c r="AR11" s="409"/>
    </row>
    <row r="12" spans="2:44" s="83" customFormat="1">
      <c r="B12" s="79" t="s">
        <v>64</v>
      </c>
      <c r="C12" s="79">
        <v>44747</v>
      </c>
      <c r="D12" s="80">
        <v>6</v>
      </c>
      <c r="E12" s="81" t="s">
        <v>143</v>
      </c>
      <c r="F12" s="80" t="s">
        <v>142</v>
      </c>
      <c r="G12" s="81" t="s">
        <v>146</v>
      </c>
      <c r="H12" s="80">
        <v>39</v>
      </c>
      <c r="I12" s="80"/>
      <c r="J12" s="80"/>
      <c r="K12" s="80"/>
      <c r="L12" s="80"/>
      <c r="M12" s="80"/>
      <c r="N12" s="80"/>
      <c r="O12" s="80"/>
      <c r="P12" s="80"/>
      <c r="Q12" s="80">
        <v>0.5</v>
      </c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75"/>
      <c r="AD12" s="75"/>
      <c r="AE12" s="75"/>
      <c r="AF12" s="75"/>
      <c r="AG12" s="166"/>
      <c r="AH12" s="75"/>
      <c r="AI12" s="75"/>
      <c r="AJ12" s="75"/>
      <c r="AK12" s="75"/>
      <c r="AL12" s="166"/>
      <c r="AM12" s="166"/>
      <c r="AN12" s="166"/>
      <c r="AO12" s="193">
        <f t="shared" si="0"/>
        <v>0.5</v>
      </c>
      <c r="AP12" s="562"/>
      <c r="AR12" s="409"/>
    </row>
    <row r="13" spans="2:44" s="83" customFormat="1">
      <c r="B13" s="79" t="s">
        <v>64</v>
      </c>
      <c r="C13" s="496">
        <v>44747</v>
      </c>
      <c r="D13" s="497">
        <v>6</v>
      </c>
      <c r="E13" s="498" t="s">
        <v>143</v>
      </c>
      <c r="F13" s="497" t="s">
        <v>142</v>
      </c>
      <c r="G13" s="498" t="s">
        <v>137</v>
      </c>
      <c r="H13" s="497">
        <v>36</v>
      </c>
      <c r="I13" s="80"/>
      <c r="J13" s="80"/>
      <c r="K13" s="80">
        <v>0.5</v>
      </c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75">
        <v>3</v>
      </c>
      <c r="AD13" s="75"/>
      <c r="AE13" s="75"/>
      <c r="AF13" s="75"/>
      <c r="AG13" s="166"/>
      <c r="AH13" s="75"/>
      <c r="AI13" s="75"/>
      <c r="AJ13" s="75"/>
      <c r="AK13" s="75"/>
      <c r="AL13" s="166"/>
      <c r="AM13" s="166"/>
      <c r="AN13" s="166"/>
      <c r="AO13" s="193">
        <f t="shared" si="0"/>
        <v>3.5</v>
      </c>
      <c r="AP13" s="562"/>
      <c r="AR13" s="409" t="s">
        <v>115</v>
      </c>
    </row>
    <row r="14" spans="2:44" s="83" customFormat="1">
      <c r="B14" s="79" t="s">
        <v>64</v>
      </c>
      <c r="C14" s="496">
        <v>44747</v>
      </c>
      <c r="D14" s="497">
        <v>6</v>
      </c>
      <c r="E14" s="498" t="s">
        <v>143</v>
      </c>
      <c r="F14" s="497" t="s">
        <v>142</v>
      </c>
      <c r="G14" s="498" t="s">
        <v>137</v>
      </c>
      <c r="H14" s="497">
        <v>37</v>
      </c>
      <c r="I14" s="80">
        <v>0.5</v>
      </c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75">
        <v>1.5</v>
      </c>
      <c r="AD14" s="75"/>
      <c r="AE14" s="75"/>
      <c r="AF14" s="75"/>
      <c r="AG14" s="166"/>
      <c r="AH14" s="75"/>
      <c r="AI14" s="75"/>
      <c r="AJ14" s="75"/>
      <c r="AK14" s="75"/>
      <c r="AL14" s="166"/>
      <c r="AM14" s="166"/>
      <c r="AN14" s="166"/>
      <c r="AO14" s="193">
        <f t="shared" si="0"/>
        <v>2</v>
      </c>
      <c r="AP14" s="562"/>
      <c r="AR14" s="409" t="s">
        <v>115</v>
      </c>
    </row>
    <row r="15" spans="2:44" s="83" customFormat="1">
      <c r="B15" s="79" t="s">
        <v>64</v>
      </c>
      <c r="C15" s="496">
        <v>44747</v>
      </c>
      <c r="D15" s="497">
        <v>6</v>
      </c>
      <c r="E15" s="498" t="s">
        <v>143</v>
      </c>
      <c r="F15" s="497" t="s">
        <v>142</v>
      </c>
      <c r="G15" s="498" t="s">
        <v>137</v>
      </c>
      <c r="H15" s="497">
        <v>38</v>
      </c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75">
        <v>2.5</v>
      </c>
      <c r="AD15" s="75"/>
      <c r="AE15" s="75"/>
      <c r="AF15" s="75"/>
      <c r="AG15" s="166"/>
      <c r="AH15" s="75"/>
      <c r="AI15" s="75"/>
      <c r="AJ15" s="75"/>
      <c r="AK15" s="75"/>
      <c r="AL15" s="166"/>
      <c r="AM15" s="166"/>
      <c r="AN15" s="166"/>
      <c r="AO15" s="193">
        <f t="shared" si="0"/>
        <v>2.5</v>
      </c>
      <c r="AP15" s="562"/>
      <c r="AR15" s="409" t="s">
        <v>115</v>
      </c>
    </row>
    <row r="16" spans="2:44" s="83" customFormat="1">
      <c r="B16" s="79" t="s">
        <v>64</v>
      </c>
      <c r="C16" s="496">
        <v>44747</v>
      </c>
      <c r="D16" s="497">
        <v>6</v>
      </c>
      <c r="E16" s="498" t="s">
        <v>143</v>
      </c>
      <c r="F16" s="497" t="s">
        <v>142</v>
      </c>
      <c r="G16" s="498" t="s">
        <v>137</v>
      </c>
      <c r="H16" s="497">
        <v>39</v>
      </c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75">
        <v>6</v>
      </c>
      <c r="AD16" s="75"/>
      <c r="AE16" s="75"/>
      <c r="AF16" s="75"/>
      <c r="AG16" s="166"/>
      <c r="AH16" s="75"/>
      <c r="AI16" s="75"/>
      <c r="AJ16" s="75"/>
      <c r="AK16" s="75"/>
      <c r="AL16" s="166"/>
      <c r="AM16" s="166"/>
      <c r="AN16" s="166"/>
      <c r="AO16" s="193">
        <f t="shared" si="0"/>
        <v>6</v>
      </c>
      <c r="AP16" s="562"/>
      <c r="AR16" s="409" t="s">
        <v>115</v>
      </c>
    </row>
    <row r="17" spans="2:44" s="83" customFormat="1">
      <c r="B17" s="79" t="s">
        <v>64</v>
      </c>
      <c r="C17" s="496">
        <v>44747</v>
      </c>
      <c r="D17" s="497">
        <v>6</v>
      </c>
      <c r="E17" s="498" t="s">
        <v>143</v>
      </c>
      <c r="F17" s="497" t="s">
        <v>142</v>
      </c>
      <c r="G17" s="498" t="s">
        <v>137</v>
      </c>
      <c r="H17" s="497">
        <v>40</v>
      </c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75">
        <v>1.5</v>
      </c>
      <c r="AD17" s="75"/>
      <c r="AE17" s="75"/>
      <c r="AF17" s="75"/>
      <c r="AG17" s="166"/>
      <c r="AH17" s="75"/>
      <c r="AI17" s="75"/>
      <c r="AJ17" s="75"/>
      <c r="AK17" s="75"/>
      <c r="AL17" s="166"/>
      <c r="AM17" s="166"/>
      <c r="AN17" s="166"/>
      <c r="AO17" s="193">
        <f t="shared" si="0"/>
        <v>1.5</v>
      </c>
      <c r="AP17" s="562"/>
      <c r="AR17" s="409" t="s">
        <v>115</v>
      </c>
    </row>
    <row r="18" spans="2:44" s="83" customFormat="1">
      <c r="B18" s="79" t="s">
        <v>64</v>
      </c>
      <c r="C18" s="496">
        <v>44747</v>
      </c>
      <c r="D18" s="497">
        <v>6</v>
      </c>
      <c r="E18" s="498" t="s">
        <v>143</v>
      </c>
      <c r="F18" s="497" t="s">
        <v>142</v>
      </c>
      <c r="G18" s="498" t="s">
        <v>137</v>
      </c>
      <c r="H18" s="497">
        <v>41</v>
      </c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75">
        <v>1</v>
      </c>
      <c r="AD18" s="75"/>
      <c r="AE18" s="75"/>
      <c r="AF18" s="75"/>
      <c r="AG18" s="75"/>
      <c r="AH18" s="75"/>
      <c r="AI18" s="75"/>
      <c r="AJ18" s="75"/>
      <c r="AK18" s="75"/>
      <c r="AL18" s="166"/>
      <c r="AM18" s="166"/>
      <c r="AN18" s="166"/>
      <c r="AO18" s="193">
        <f t="shared" si="0"/>
        <v>1</v>
      </c>
      <c r="AP18" s="562"/>
      <c r="AR18" s="409" t="s">
        <v>115</v>
      </c>
    </row>
    <row r="19" spans="2:44" s="83" customFormat="1">
      <c r="B19" s="79" t="s">
        <v>64</v>
      </c>
      <c r="C19" s="496">
        <v>44747</v>
      </c>
      <c r="D19" s="497">
        <v>6</v>
      </c>
      <c r="E19" s="498" t="s">
        <v>143</v>
      </c>
      <c r="F19" s="497" t="s">
        <v>142</v>
      </c>
      <c r="G19" s="498" t="s">
        <v>137</v>
      </c>
      <c r="H19" s="497">
        <v>42</v>
      </c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75">
        <v>1</v>
      </c>
      <c r="AD19" s="75"/>
      <c r="AE19" s="75"/>
      <c r="AF19" s="75"/>
      <c r="AG19" s="75"/>
      <c r="AH19" s="75"/>
      <c r="AI19" s="75"/>
      <c r="AJ19" s="75"/>
      <c r="AK19" s="75"/>
      <c r="AL19" s="166"/>
      <c r="AM19" s="166"/>
      <c r="AN19" s="166"/>
      <c r="AO19" s="193">
        <f t="shared" si="0"/>
        <v>1</v>
      </c>
      <c r="AP19" s="562"/>
      <c r="AR19" s="409" t="s">
        <v>115</v>
      </c>
    </row>
    <row r="20" spans="2:44" s="83" customFormat="1" ht="16.5" thickBot="1">
      <c r="B20" s="79" t="s">
        <v>64</v>
      </c>
      <c r="C20" s="496">
        <v>44747</v>
      </c>
      <c r="D20" s="497">
        <v>6</v>
      </c>
      <c r="E20" s="498" t="s">
        <v>143</v>
      </c>
      <c r="F20" s="497" t="s">
        <v>142</v>
      </c>
      <c r="G20" s="498" t="s">
        <v>146</v>
      </c>
      <c r="H20" s="497">
        <v>37</v>
      </c>
      <c r="I20" s="80">
        <v>0.5</v>
      </c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75"/>
      <c r="AD20" s="166"/>
      <c r="AE20" s="75"/>
      <c r="AF20" s="75"/>
      <c r="AG20" s="75"/>
      <c r="AH20" s="75"/>
      <c r="AI20" s="75"/>
      <c r="AJ20" s="75"/>
      <c r="AK20" s="75"/>
      <c r="AL20" s="166"/>
      <c r="AM20" s="166"/>
      <c r="AN20" s="166"/>
      <c r="AO20" s="193">
        <f t="shared" si="0"/>
        <v>0.5</v>
      </c>
      <c r="AP20" s="563"/>
      <c r="AR20" s="409" t="s">
        <v>115</v>
      </c>
    </row>
    <row r="21" spans="2:44" s="83" customFormat="1">
      <c r="B21" s="79" t="s">
        <v>64</v>
      </c>
      <c r="C21" s="79">
        <v>44748</v>
      </c>
      <c r="D21" s="80">
        <v>6</v>
      </c>
      <c r="E21" s="81" t="s">
        <v>143</v>
      </c>
      <c r="F21" s="80" t="s">
        <v>142</v>
      </c>
      <c r="G21" s="81" t="s">
        <v>146</v>
      </c>
      <c r="H21" s="80">
        <v>38</v>
      </c>
      <c r="I21" s="80"/>
      <c r="J21" s="80"/>
      <c r="K21" s="80"/>
      <c r="L21" s="80"/>
      <c r="M21" s="80"/>
      <c r="N21" s="80"/>
      <c r="O21" s="80"/>
      <c r="P21" s="80"/>
      <c r="Q21" s="80">
        <v>0.5</v>
      </c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75"/>
      <c r="AD21" s="75"/>
      <c r="AE21" s="75"/>
      <c r="AF21" s="75"/>
      <c r="AG21" s="75"/>
      <c r="AH21" s="75"/>
      <c r="AI21" s="75"/>
      <c r="AJ21" s="75"/>
      <c r="AK21" s="75"/>
      <c r="AL21" s="166"/>
      <c r="AM21" s="166"/>
      <c r="AN21" s="166"/>
      <c r="AO21" s="193">
        <f t="shared" si="0"/>
        <v>0.5</v>
      </c>
      <c r="AP21" s="561">
        <f>SUM(AO21:AO24)</f>
        <v>2.5</v>
      </c>
      <c r="AR21" s="409"/>
    </row>
    <row r="22" spans="2:44" s="83" customFormat="1">
      <c r="B22" s="79" t="s">
        <v>64</v>
      </c>
      <c r="C22" s="496">
        <v>44748</v>
      </c>
      <c r="D22" s="497">
        <v>6</v>
      </c>
      <c r="E22" s="498" t="s">
        <v>143</v>
      </c>
      <c r="F22" s="498" t="s">
        <v>142</v>
      </c>
      <c r="G22" s="511" t="s">
        <v>146</v>
      </c>
      <c r="H22" s="497">
        <v>41</v>
      </c>
      <c r="I22" s="80"/>
      <c r="J22" s="80"/>
      <c r="K22" s="80"/>
      <c r="L22" s="80"/>
      <c r="M22" s="80">
        <v>0.5</v>
      </c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75"/>
      <c r="AD22" s="75"/>
      <c r="AE22" s="75"/>
      <c r="AF22" s="75"/>
      <c r="AG22" s="75"/>
      <c r="AH22" s="75"/>
      <c r="AI22" s="75"/>
      <c r="AJ22" s="75"/>
      <c r="AK22" s="75"/>
      <c r="AL22" s="166"/>
      <c r="AM22" s="166"/>
      <c r="AN22" s="166"/>
      <c r="AO22" s="193">
        <f t="shared" si="0"/>
        <v>0.5</v>
      </c>
      <c r="AP22" s="562"/>
      <c r="AR22" s="409" t="s">
        <v>115</v>
      </c>
    </row>
    <row r="23" spans="2:44" s="83" customFormat="1">
      <c r="B23" s="79" t="s">
        <v>64</v>
      </c>
      <c r="C23" s="496">
        <v>44748</v>
      </c>
      <c r="D23" s="497">
        <v>6</v>
      </c>
      <c r="E23" s="498" t="s">
        <v>156</v>
      </c>
      <c r="F23" s="498" t="s">
        <v>142</v>
      </c>
      <c r="G23" s="498" t="s">
        <v>153</v>
      </c>
      <c r="H23" s="497">
        <v>37</v>
      </c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>
        <v>0.5</v>
      </c>
      <c r="T23" s="80"/>
      <c r="U23" s="80"/>
      <c r="V23" s="80"/>
      <c r="W23" s="80"/>
      <c r="X23" s="80"/>
      <c r="Y23" s="80"/>
      <c r="Z23" s="80"/>
      <c r="AA23" s="80"/>
      <c r="AB23" s="80"/>
      <c r="AC23" s="75"/>
      <c r="AD23" s="75"/>
      <c r="AE23" s="75"/>
      <c r="AF23" s="75"/>
      <c r="AG23" s="166"/>
      <c r="AH23" s="75"/>
      <c r="AI23" s="75"/>
      <c r="AJ23" s="75"/>
      <c r="AK23" s="75"/>
      <c r="AL23" s="166"/>
      <c r="AM23" s="166"/>
      <c r="AN23" s="166"/>
      <c r="AO23" s="193">
        <f t="shared" si="0"/>
        <v>0.5</v>
      </c>
      <c r="AP23" s="562"/>
      <c r="AR23" s="409" t="s">
        <v>115</v>
      </c>
    </row>
    <row r="24" spans="2:44" s="83" customFormat="1" ht="16.5" thickBot="1">
      <c r="B24" s="79" t="s">
        <v>64</v>
      </c>
      <c r="C24" s="496">
        <v>44748</v>
      </c>
      <c r="D24" s="497">
        <v>6</v>
      </c>
      <c r="E24" s="498" t="s">
        <v>156</v>
      </c>
      <c r="F24" s="498" t="s">
        <v>142</v>
      </c>
      <c r="G24" s="498" t="s">
        <v>153</v>
      </c>
      <c r="H24" s="497">
        <v>38</v>
      </c>
      <c r="I24" s="80">
        <v>1</v>
      </c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75"/>
      <c r="AD24" s="75"/>
      <c r="AE24" s="75"/>
      <c r="AF24" s="75"/>
      <c r="AG24" s="166"/>
      <c r="AH24" s="75"/>
      <c r="AI24" s="75"/>
      <c r="AJ24" s="75"/>
      <c r="AK24" s="75"/>
      <c r="AL24" s="166"/>
      <c r="AM24" s="166"/>
      <c r="AN24" s="166"/>
      <c r="AO24" s="193">
        <f t="shared" si="0"/>
        <v>1</v>
      </c>
      <c r="AP24" s="563"/>
      <c r="AR24" s="409" t="s">
        <v>115</v>
      </c>
    </row>
    <row r="25" spans="2:44" s="83" customFormat="1">
      <c r="B25" s="79" t="s">
        <v>64</v>
      </c>
      <c r="C25" s="79">
        <v>44749</v>
      </c>
      <c r="D25" s="80">
        <v>6</v>
      </c>
      <c r="E25" s="80" t="s">
        <v>143</v>
      </c>
      <c r="F25" s="80" t="s">
        <v>142</v>
      </c>
      <c r="G25" s="81" t="s">
        <v>137</v>
      </c>
      <c r="H25" s="80">
        <v>38</v>
      </c>
      <c r="I25" s="80"/>
      <c r="J25" s="80"/>
      <c r="K25" s="80"/>
      <c r="L25" s="80"/>
      <c r="M25" s="80"/>
      <c r="N25" s="80"/>
      <c r="O25" s="80"/>
      <c r="P25" s="80">
        <v>1</v>
      </c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75"/>
      <c r="AD25" s="75"/>
      <c r="AE25" s="75"/>
      <c r="AF25" s="75"/>
      <c r="AG25" s="166"/>
      <c r="AH25" s="75"/>
      <c r="AI25" s="75"/>
      <c r="AJ25" s="75"/>
      <c r="AK25" s="75"/>
      <c r="AL25" s="166"/>
      <c r="AM25" s="166"/>
      <c r="AN25" s="166"/>
      <c r="AO25" s="193">
        <f t="shared" si="0"/>
        <v>1</v>
      </c>
      <c r="AP25" s="561">
        <f>SUM(AO25:AO30)</f>
        <v>6</v>
      </c>
      <c r="AR25" s="409"/>
    </row>
    <row r="26" spans="2:44" s="83" customFormat="1">
      <c r="B26" s="79" t="s">
        <v>64</v>
      </c>
      <c r="C26" s="496">
        <v>44749</v>
      </c>
      <c r="D26" s="497">
        <v>6</v>
      </c>
      <c r="E26" s="498" t="s">
        <v>143</v>
      </c>
      <c r="F26" s="497" t="s">
        <v>142</v>
      </c>
      <c r="G26" s="498" t="s">
        <v>137</v>
      </c>
      <c r="H26" s="497">
        <v>36</v>
      </c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>
        <v>0.5</v>
      </c>
      <c r="AC26" s="75"/>
      <c r="AD26" s="75"/>
      <c r="AE26" s="75"/>
      <c r="AF26" s="75"/>
      <c r="AG26" s="166"/>
      <c r="AH26" s="75"/>
      <c r="AI26" s="75"/>
      <c r="AJ26" s="75"/>
      <c r="AK26" s="75"/>
      <c r="AL26" s="166"/>
      <c r="AM26" s="166"/>
      <c r="AN26" s="166"/>
      <c r="AO26" s="193">
        <f t="shared" si="0"/>
        <v>0.5</v>
      </c>
      <c r="AP26" s="562"/>
      <c r="AR26" s="409" t="s">
        <v>115</v>
      </c>
    </row>
    <row r="27" spans="2:44" s="83" customFormat="1">
      <c r="B27" s="79" t="s">
        <v>64</v>
      </c>
      <c r="C27" s="496">
        <v>44749</v>
      </c>
      <c r="D27" s="497">
        <v>6</v>
      </c>
      <c r="E27" s="498" t="s">
        <v>143</v>
      </c>
      <c r="F27" s="497" t="s">
        <v>142</v>
      </c>
      <c r="G27" s="498" t="s">
        <v>137</v>
      </c>
      <c r="H27" s="497">
        <v>37</v>
      </c>
      <c r="I27" s="80">
        <v>1</v>
      </c>
      <c r="J27" s="80"/>
      <c r="K27" s="80"/>
      <c r="L27" s="80"/>
      <c r="M27" s="80"/>
      <c r="N27" s="80"/>
      <c r="O27" s="80"/>
      <c r="P27" s="80"/>
      <c r="Q27" s="80"/>
      <c r="R27" s="80"/>
      <c r="S27" s="80">
        <v>0.5</v>
      </c>
      <c r="T27" s="80"/>
      <c r="U27" s="80"/>
      <c r="V27" s="80"/>
      <c r="W27" s="80"/>
      <c r="X27" s="80"/>
      <c r="Y27" s="80"/>
      <c r="Z27" s="80"/>
      <c r="AA27" s="80"/>
      <c r="AB27" s="80"/>
      <c r="AC27" s="75"/>
      <c r="AD27" s="75"/>
      <c r="AE27" s="75"/>
      <c r="AF27" s="75"/>
      <c r="AG27" s="166"/>
      <c r="AH27" s="75"/>
      <c r="AI27" s="75"/>
      <c r="AJ27" s="75"/>
      <c r="AK27" s="75"/>
      <c r="AL27" s="166"/>
      <c r="AM27" s="166"/>
      <c r="AN27" s="166"/>
      <c r="AO27" s="193">
        <f t="shared" si="0"/>
        <v>1.5</v>
      </c>
      <c r="AP27" s="562"/>
      <c r="AR27" s="409" t="s">
        <v>115</v>
      </c>
    </row>
    <row r="28" spans="2:44" s="83" customFormat="1">
      <c r="B28" s="79" t="s">
        <v>64</v>
      </c>
      <c r="C28" s="496">
        <v>44749</v>
      </c>
      <c r="D28" s="497">
        <v>6</v>
      </c>
      <c r="E28" s="498" t="s">
        <v>143</v>
      </c>
      <c r="F28" s="497" t="s">
        <v>142</v>
      </c>
      <c r="G28" s="498" t="s">
        <v>137</v>
      </c>
      <c r="H28" s="497">
        <v>38</v>
      </c>
      <c r="I28" s="80"/>
      <c r="J28" s="80"/>
      <c r="K28" s="80"/>
      <c r="L28" s="80"/>
      <c r="M28" s="80"/>
      <c r="N28" s="80"/>
      <c r="O28" s="80"/>
      <c r="P28" s="80">
        <v>0.5</v>
      </c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>
        <v>0.5</v>
      </c>
      <c r="AC28" s="75"/>
      <c r="AD28" s="75"/>
      <c r="AE28" s="75"/>
      <c r="AF28" s="75"/>
      <c r="AG28" s="166"/>
      <c r="AH28" s="75"/>
      <c r="AI28" s="75"/>
      <c r="AJ28" s="75"/>
      <c r="AK28" s="75"/>
      <c r="AL28" s="166"/>
      <c r="AM28" s="166"/>
      <c r="AN28" s="166"/>
      <c r="AO28" s="193">
        <f t="shared" si="0"/>
        <v>1</v>
      </c>
      <c r="AP28" s="562"/>
      <c r="AR28" s="409" t="s">
        <v>115</v>
      </c>
    </row>
    <row r="29" spans="2:44" s="83" customFormat="1">
      <c r="B29" s="79" t="s">
        <v>64</v>
      </c>
      <c r="C29" s="496">
        <v>44749</v>
      </c>
      <c r="D29" s="497">
        <v>6</v>
      </c>
      <c r="E29" s="498" t="s">
        <v>143</v>
      </c>
      <c r="F29" s="497" t="s">
        <v>142</v>
      </c>
      <c r="G29" s="498" t="s">
        <v>137</v>
      </c>
      <c r="H29" s="497">
        <v>39</v>
      </c>
      <c r="I29" s="80"/>
      <c r="J29" s="80"/>
      <c r="K29" s="80"/>
      <c r="L29" s="80"/>
      <c r="M29" s="80"/>
      <c r="N29" s="80"/>
      <c r="O29" s="80"/>
      <c r="P29" s="80">
        <v>1.5</v>
      </c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75"/>
      <c r="AD29" s="75"/>
      <c r="AE29" s="75"/>
      <c r="AF29" s="75"/>
      <c r="AG29" s="166"/>
      <c r="AH29" s="75"/>
      <c r="AI29" s="75"/>
      <c r="AJ29" s="75"/>
      <c r="AK29" s="75"/>
      <c r="AL29" s="166"/>
      <c r="AM29" s="166"/>
      <c r="AN29" s="166"/>
      <c r="AO29" s="193">
        <f t="shared" si="0"/>
        <v>1.5</v>
      </c>
      <c r="AP29" s="562"/>
      <c r="AR29" s="409" t="s">
        <v>115</v>
      </c>
    </row>
    <row r="30" spans="2:44" s="83" customFormat="1" ht="16.5" thickBot="1">
      <c r="B30" s="79" t="s">
        <v>64</v>
      </c>
      <c r="C30" s="496">
        <v>44749</v>
      </c>
      <c r="D30" s="497">
        <v>6</v>
      </c>
      <c r="E30" s="498" t="s">
        <v>156</v>
      </c>
      <c r="F30" s="498" t="s">
        <v>142</v>
      </c>
      <c r="G30" s="498" t="s">
        <v>153</v>
      </c>
      <c r="H30" s="497">
        <v>41</v>
      </c>
      <c r="I30" s="80"/>
      <c r="J30" s="80"/>
      <c r="K30" s="80"/>
      <c r="L30" s="80"/>
      <c r="M30" s="80">
        <v>0.5</v>
      </c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75"/>
      <c r="AD30" s="75"/>
      <c r="AE30" s="75"/>
      <c r="AF30" s="75"/>
      <c r="AG30" s="166"/>
      <c r="AH30" s="75"/>
      <c r="AI30" s="75"/>
      <c r="AJ30" s="75"/>
      <c r="AK30" s="75"/>
      <c r="AL30" s="166"/>
      <c r="AM30" s="166"/>
      <c r="AN30" s="166"/>
      <c r="AO30" s="193">
        <f t="shared" si="0"/>
        <v>0.5</v>
      </c>
      <c r="AP30" s="563"/>
      <c r="AR30" s="409" t="s">
        <v>115</v>
      </c>
    </row>
    <row r="31" spans="2:44" s="83" customFormat="1">
      <c r="B31" s="79" t="s">
        <v>64</v>
      </c>
      <c r="C31" s="79">
        <v>44750</v>
      </c>
      <c r="D31" s="80">
        <v>6</v>
      </c>
      <c r="E31" s="80" t="s">
        <v>143</v>
      </c>
      <c r="F31" s="80" t="s">
        <v>142</v>
      </c>
      <c r="G31" s="81" t="s">
        <v>137</v>
      </c>
      <c r="H31" s="80">
        <v>38</v>
      </c>
      <c r="I31" s="80"/>
      <c r="J31" s="80"/>
      <c r="K31" s="80"/>
      <c r="L31" s="80"/>
      <c r="M31" s="80"/>
      <c r="N31" s="80"/>
      <c r="O31" s="80"/>
      <c r="P31" s="80">
        <v>2.5</v>
      </c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75"/>
      <c r="AD31" s="75"/>
      <c r="AE31" s="75"/>
      <c r="AF31" s="75"/>
      <c r="AG31" s="166"/>
      <c r="AH31" s="75"/>
      <c r="AI31" s="75"/>
      <c r="AJ31" s="75"/>
      <c r="AK31" s="75"/>
      <c r="AL31" s="166"/>
      <c r="AM31" s="166"/>
      <c r="AN31" s="166"/>
      <c r="AO31" s="193">
        <f t="shared" si="0"/>
        <v>2.5</v>
      </c>
      <c r="AP31" s="561">
        <f>SUM(AO31:AO35)</f>
        <v>5</v>
      </c>
      <c r="AR31" s="409"/>
    </row>
    <row r="32" spans="2:44" s="83" customFormat="1">
      <c r="B32" s="79" t="s">
        <v>64</v>
      </c>
      <c r="C32" s="79">
        <v>44750</v>
      </c>
      <c r="D32" s="80">
        <v>6</v>
      </c>
      <c r="E32" s="80" t="s">
        <v>143</v>
      </c>
      <c r="F32" s="80" t="s">
        <v>142</v>
      </c>
      <c r="G32" s="81" t="s">
        <v>137</v>
      </c>
      <c r="H32" s="80">
        <v>39</v>
      </c>
      <c r="I32" s="80"/>
      <c r="J32" s="80"/>
      <c r="K32" s="80"/>
      <c r="L32" s="80"/>
      <c r="M32" s="80"/>
      <c r="N32" s="80"/>
      <c r="O32" s="80"/>
      <c r="P32" s="80">
        <v>0.5</v>
      </c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75"/>
      <c r="AD32" s="75"/>
      <c r="AE32" s="75"/>
      <c r="AF32" s="75"/>
      <c r="AG32" s="75"/>
      <c r="AH32" s="75"/>
      <c r="AI32" s="75"/>
      <c r="AJ32" s="75"/>
      <c r="AK32" s="75"/>
      <c r="AL32" s="166"/>
      <c r="AM32" s="166"/>
      <c r="AN32" s="166"/>
      <c r="AO32" s="193">
        <f t="shared" si="0"/>
        <v>0.5</v>
      </c>
      <c r="AP32" s="562"/>
      <c r="AR32" s="409"/>
    </row>
    <row r="33" spans="2:44" s="83" customFormat="1">
      <c r="B33" s="79" t="s">
        <v>64</v>
      </c>
      <c r="C33" s="496">
        <v>44750</v>
      </c>
      <c r="D33" s="497">
        <v>6</v>
      </c>
      <c r="E33" s="498" t="s">
        <v>143</v>
      </c>
      <c r="F33" s="497" t="s">
        <v>142</v>
      </c>
      <c r="G33" s="498" t="s">
        <v>137</v>
      </c>
      <c r="H33" s="497">
        <v>35</v>
      </c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>
        <v>0.5</v>
      </c>
      <c r="AC33" s="75"/>
      <c r="AD33" s="75"/>
      <c r="AE33" s="75"/>
      <c r="AF33" s="75"/>
      <c r="AG33" s="75"/>
      <c r="AH33" s="75"/>
      <c r="AI33" s="75"/>
      <c r="AJ33" s="75"/>
      <c r="AK33" s="75"/>
      <c r="AL33" s="166"/>
      <c r="AM33" s="166"/>
      <c r="AN33" s="166"/>
      <c r="AO33" s="193">
        <f t="shared" si="0"/>
        <v>0.5</v>
      </c>
      <c r="AP33" s="562"/>
      <c r="AR33" s="409" t="s">
        <v>115</v>
      </c>
    </row>
    <row r="34" spans="2:44" s="83" customFormat="1">
      <c r="B34" s="79" t="s">
        <v>64</v>
      </c>
      <c r="C34" s="496">
        <v>44750</v>
      </c>
      <c r="D34" s="497">
        <v>6</v>
      </c>
      <c r="E34" s="498" t="s">
        <v>143</v>
      </c>
      <c r="F34" s="497" t="s">
        <v>142</v>
      </c>
      <c r="G34" s="498" t="s">
        <v>137</v>
      </c>
      <c r="H34" s="497">
        <v>36</v>
      </c>
      <c r="I34" s="80">
        <v>0.5</v>
      </c>
      <c r="J34" s="80"/>
      <c r="K34" s="80">
        <v>0.5</v>
      </c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75"/>
      <c r="AD34" s="75"/>
      <c r="AE34" s="75"/>
      <c r="AF34" s="75"/>
      <c r="AG34" s="75"/>
      <c r="AH34" s="75"/>
      <c r="AI34" s="75"/>
      <c r="AJ34" s="75"/>
      <c r="AK34" s="75"/>
      <c r="AL34" s="166"/>
      <c r="AM34" s="166"/>
      <c r="AN34" s="166"/>
      <c r="AO34" s="193">
        <f t="shared" si="0"/>
        <v>1</v>
      </c>
      <c r="AP34" s="562"/>
      <c r="AR34" s="409" t="s">
        <v>115</v>
      </c>
    </row>
    <row r="35" spans="2:44" s="83" customFormat="1" ht="16.5" thickBot="1">
      <c r="B35" s="79" t="s">
        <v>64</v>
      </c>
      <c r="C35" s="496">
        <v>44750</v>
      </c>
      <c r="D35" s="497">
        <v>6</v>
      </c>
      <c r="E35" s="498" t="s">
        <v>143</v>
      </c>
      <c r="F35" s="497" t="s">
        <v>142</v>
      </c>
      <c r="G35" s="498" t="s">
        <v>137</v>
      </c>
      <c r="H35" s="497">
        <v>38</v>
      </c>
      <c r="I35" s="80"/>
      <c r="J35" s="80"/>
      <c r="K35" s="80"/>
      <c r="L35" s="80"/>
      <c r="M35" s="80"/>
      <c r="N35" s="80"/>
      <c r="O35" s="80"/>
      <c r="P35" s="80">
        <v>0.5</v>
      </c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75"/>
      <c r="AD35" s="75"/>
      <c r="AE35" s="75"/>
      <c r="AF35" s="75"/>
      <c r="AG35" s="75"/>
      <c r="AH35" s="75"/>
      <c r="AI35" s="75"/>
      <c r="AJ35" s="75"/>
      <c r="AK35" s="75"/>
      <c r="AL35" s="166"/>
      <c r="AM35" s="166"/>
      <c r="AN35" s="166"/>
      <c r="AO35" s="193">
        <f t="shared" si="0"/>
        <v>0.5</v>
      </c>
      <c r="AP35" s="563"/>
      <c r="AR35" s="409" t="s">
        <v>115</v>
      </c>
    </row>
    <row r="36" spans="2:44" s="83" customFormat="1" hidden="1">
      <c r="B36" s="79" t="s">
        <v>64</v>
      </c>
      <c r="C36" s="79"/>
      <c r="D36" s="80"/>
      <c r="E36" s="81"/>
      <c r="F36" s="81"/>
      <c r="G36" s="81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75"/>
      <c r="AD36" s="75"/>
      <c r="AE36" s="75"/>
      <c r="AF36" s="75"/>
      <c r="AG36" s="75"/>
      <c r="AH36" s="75"/>
      <c r="AI36" s="75"/>
      <c r="AJ36" s="75"/>
      <c r="AK36" s="75"/>
      <c r="AL36" s="166"/>
      <c r="AM36" s="166"/>
      <c r="AN36" s="166"/>
      <c r="AO36" s="193">
        <f t="shared" si="0"/>
        <v>0</v>
      </c>
      <c r="AP36" s="191"/>
      <c r="AR36" s="409"/>
    </row>
    <row r="37" spans="2:44" s="83" customFormat="1" hidden="1">
      <c r="B37" s="79" t="s">
        <v>64</v>
      </c>
      <c r="C37" s="79"/>
      <c r="D37" s="80"/>
      <c r="E37" s="81"/>
      <c r="F37" s="81"/>
      <c r="G37" s="81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75"/>
      <c r="AD37" s="75"/>
      <c r="AE37" s="75"/>
      <c r="AF37" s="75"/>
      <c r="AG37" s="75"/>
      <c r="AH37" s="75"/>
      <c r="AI37" s="75"/>
      <c r="AJ37" s="75"/>
      <c r="AK37" s="75"/>
      <c r="AL37" s="166"/>
      <c r="AM37" s="166"/>
      <c r="AN37" s="166"/>
      <c r="AO37" s="193">
        <f t="shared" ref="AO37:AO68" si="1">SUM(I37:AN37)</f>
        <v>0</v>
      </c>
      <c r="AP37" s="191"/>
      <c r="AR37" s="409"/>
    </row>
    <row r="38" spans="2:44" s="83" customFormat="1" ht="16.5" hidden="1" thickBot="1">
      <c r="B38" s="79" t="s">
        <v>64</v>
      </c>
      <c r="C38" s="79"/>
      <c r="D38" s="80"/>
      <c r="E38" s="81"/>
      <c r="F38" s="81"/>
      <c r="G38" s="81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75"/>
      <c r="AD38" s="75"/>
      <c r="AE38" s="75"/>
      <c r="AF38" s="75"/>
      <c r="AG38" s="75"/>
      <c r="AH38" s="75"/>
      <c r="AI38" s="75"/>
      <c r="AJ38" s="75"/>
      <c r="AK38" s="75"/>
      <c r="AL38" s="166"/>
      <c r="AM38" s="166"/>
      <c r="AN38" s="166"/>
      <c r="AO38" s="193">
        <f t="shared" si="1"/>
        <v>0</v>
      </c>
      <c r="AP38" s="231"/>
      <c r="AR38" s="409"/>
    </row>
    <row r="39" spans="2:44" s="83" customFormat="1" hidden="1">
      <c r="B39" s="79" t="s">
        <v>64</v>
      </c>
      <c r="C39" s="79"/>
      <c r="D39" s="80"/>
      <c r="E39" s="81"/>
      <c r="F39" s="81"/>
      <c r="G39" s="81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75"/>
      <c r="AD39" s="75"/>
      <c r="AE39" s="75"/>
      <c r="AF39" s="75"/>
      <c r="AG39" s="75"/>
      <c r="AH39" s="75"/>
      <c r="AI39" s="75"/>
      <c r="AJ39" s="75"/>
      <c r="AK39" s="75"/>
      <c r="AL39" s="166"/>
      <c r="AM39" s="166"/>
      <c r="AN39" s="166"/>
      <c r="AO39" s="193">
        <f t="shared" si="1"/>
        <v>0</v>
      </c>
      <c r="AP39" s="561">
        <f>SUM(AO39:AO76)</f>
        <v>0</v>
      </c>
      <c r="AR39" s="409"/>
    </row>
    <row r="40" spans="2:44" s="83" customFormat="1" hidden="1">
      <c r="B40" s="79" t="s">
        <v>64</v>
      </c>
      <c r="C40" s="79"/>
      <c r="D40" s="80"/>
      <c r="E40" s="212"/>
      <c r="F40" s="81"/>
      <c r="G40" s="81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75"/>
      <c r="AD40" s="75"/>
      <c r="AE40" s="75"/>
      <c r="AF40" s="75"/>
      <c r="AG40" s="75"/>
      <c r="AH40" s="75"/>
      <c r="AI40" s="75"/>
      <c r="AJ40" s="75"/>
      <c r="AK40" s="75"/>
      <c r="AL40" s="166"/>
      <c r="AM40" s="166"/>
      <c r="AN40" s="166"/>
      <c r="AO40" s="193">
        <f t="shared" si="1"/>
        <v>0</v>
      </c>
      <c r="AP40" s="562"/>
      <c r="AR40" s="409"/>
    </row>
    <row r="41" spans="2:44" s="83" customFormat="1" hidden="1">
      <c r="B41" s="79" t="s">
        <v>64</v>
      </c>
      <c r="C41" s="79"/>
      <c r="D41" s="80"/>
      <c r="E41" s="81"/>
      <c r="F41" s="81"/>
      <c r="G41" s="81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75"/>
      <c r="AD41" s="75"/>
      <c r="AE41" s="75"/>
      <c r="AF41" s="75"/>
      <c r="AG41" s="75"/>
      <c r="AH41" s="75"/>
      <c r="AI41" s="75"/>
      <c r="AJ41" s="75"/>
      <c r="AK41" s="75"/>
      <c r="AL41" s="166"/>
      <c r="AM41" s="166"/>
      <c r="AN41" s="166"/>
      <c r="AO41" s="193">
        <f t="shared" si="1"/>
        <v>0</v>
      </c>
      <c r="AP41" s="562"/>
      <c r="AR41" s="409"/>
    </row>
    <row r="42" spans="2:44" s="83" customFormat="1" hidden="1">
      <c r="B42" s="79" t="s">
        <v>64</v>
      </c>
      <c r="C42" s="79"/>
      <c r="D42" s="80"/>
      <c r="E42" s="81"/>
      <c r="F42" s="81"/>
      <c r="G42" s="81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75"/>
      <c r="AD42" s="75"/>
      <c r="AE42" s="75"/>
      <c r="AF42" s="75"/>
      <c r="AG42" s="75"/>
      <c r="AH42" s="75"/>
      <c r="AI42" s="75"/>
      <c r="AJ42" s="75"/>
      <c r="AK42" s="166"/>
      <c r="AL42" s="166"/>
      <c r="AM42" s="166"/>
      <c r="AN42" s="166"/>
      <c r="AO42" s="193">
        <f t="shared" si="1"/>
        <v>0</v>
      </c>
      <c r="AP42" s="562"/>
      <c r="AR42" s="409"/>
    </row>
    <row r="43" spans="2:44" s="83" customFormat="1" hidden="1">
      <c r="B43" s="79" t="s">
        <v>64</v>
      </c>
      <c r="C43" s="79"/>
      <c r="D43" s="80"/>
      <c r="E43" s="81"/>
      <c r="F43" s="81"/>
      <c r="G43" s="81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75"/>
      <c r="AD43" s="75"/>
      <c r="AE43" s="75"/>
      <c r="AF43" s="75"/>
      <c r="AG43" s="75"/>
      <c r="AH43" s="75"/>
      <c r="AI43" s="75"/>
      <c r="AJ43" s="75"/>
      <c r="AK43" s="75"/>
      <c r="AL43" s="166"/>
      <c r="AM43" s="166"/>
      <c r="AN43" s="166"/>
      <c r="AO43" s="193">
        <f t="shared" si="1"/>
        <v>0</v>
      </c>
      <c r="AP43" s="562"/>
      <c r="AR43" s="409"/>
    </row>
    <row r="44" spans="2:44" s="83" customFormat="1" hidden="1">
      <c r="B44" s="79" t="s">
        <v>64</v>
      </c>
      <c r="C44" s="79"/>
      <c r="D44" s="80"/>
      <c r="E44" s="81"/>
      <c r="F44" s="81"/>
      <c r="G44" s="81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75"/>
      <c r="AD44" s="75"/>
      <c r="AE44" s="75"/>
      <c r="AF44" s="75"/>
      <c r="AG44" s="75"/>
      <c r="AH44" s="75"/>
      <c r="AI44" s="75"/>
      <c r="AJ44" s="75"/>
      <c r="AK44" s="75"/>
      <c r="AL44" s="166"/>
      <c r="AM44" s="166"/>
      <c r="AN44" s="166"/>
      <c r="AO44" s="76">
        <f t="shared" si="1"/>
        <v>0</v>
      </c>
      <c r="AP44" s="562"/>
      <c r="AR44" s="409"/>
    </row>
    <row r="45" spans="2:44" s="83" customFormat="1" hidden="1">
      <c r="B45" s="79" t="s">
        <v>64</v>
      </c>
      <c r="C45" s="79"/>
      <c r="D45" s="80"/>
      <c r="E45" s="81"/>
      <c r="F45" s="81"/>
      <c r="G45" s="81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75"/>
      <c r="AD45" s="75"/>
      <c r="AE45" s="75"/>
      <c r="AF45" s="75"/>
      <c r="AG45" s="75"/>
      <c r="AH45" s="75"/>
      <c r="AI45" s="75"/>
      <c r="AJ45" s="75"/>
      <c r="AK45" s="75"/>
      <c r="AL45" s="166"/>
      <c r="AM45" s="166"/>
      <c r="AN45" s="166"/>
      <c r="AO45" s="76">
        <f t="shared" si="1"/>
        <v>0</v>
      </c>
      <c r="AP45" s="562"/>
      <c r="AR45" s="409"/>
    </row>
    <row r="46" spans="2:44" s="83" customFormat="1" hidden="1">
      <c r="B46" s="79" t="s">
        <v>64</v>
      </c>
      <c r="C46" s="79"/>
      <c r="D46" s="80"/>
      <c r="E46" s="81"/>
      <c r="F46" s="81"/>
      <c r="G46" s="81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75"/>
      <c r="AD46" s="75"/>
      <c r="AE46" s="75"/>
      <c r="AF46" s="75"/>
      <c r="AG46" s="75"/>
      <c r="AH46" s="75"/>
      <c r="AI46" s="75"/>
      <c r="AJ46" s="75"/>
      <c r="AK46" s="75"/>
      <c r="AL46" s="166"/>
      <c r="AM46" s="166"/>
      <c r="AN46" s="166"/>
      <c r="AO46" s="76">
        <f t="shared" si="1"/>
        <v>0</v>
      </c>
      <c r="AP46" s="562"/>
      <c r="AR46" s="409"/>
    </row>
    <row r="47" spans="2:44" s="83" customFormat="1" hidden="1">
      <c r="B47" s="79" t="s">
        <v>64</v>
      </c>
      <c r="C47" s="79"/>
      <c r="D47" s="80"/>
      <c r="E47" s="81"/>
      <c r="F47" s="81"/>
      <c r="G47" s="81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75"/>
      <c r="AD47" s="75"/>
      <c r="AE47" s="75"/>
      <c r="AF47" s="75"/>
      <c r="AG47" s="75"/>
      <c r="AH47" s="75"/>
      <c r="AI47" s="166"/>
      <c r="AJ47" s="75"/>
      <c r="AK47" s="75"/>
      <c r="AL47" s="166"/>
      <c r="AM47" s="166"/>
      <c r="AN47" s="166"/>
      <c r="AO47" s="76">
        <f t="shared" si="1"/>
        <v>0</v>
      </c>
      <c r="AP47" s="562"/>
      <c r="AR47" s="409"/>
    </row>
    <row r="48" spans="2:44" s="83" customFormat="1" hidden="1">
      <c r="B48" s="79" t="s">
        <v>64</v>
      </c>
      <c r="C48" s="79"/>
      <c r="D48" s="80"/>
      <c r="E48" s="81"/>
      <c r="F48" s="81"/>
      <c r="G48" s="81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75"/>
      <c r="AD48" s="75"/>
      <c r="AE48" s="75"/>
      <c r="AF48" s="75"/>
      <c r="AG48" s="75"/>
      <c r="AH48" s="75"/>
      <c r="AI48" s="75"/>
      <c r="AJ48" s="75"/>
      <c r="AK48" s="75"/>
      <c r="AL48" s="166"/>
      <c r="AM48" s="166"/>
      <c r="AN48" s="166"/>
      <c r="AO48" s="76">
        <f t="shared" si="1"/>
        <v>0</v>
      </c>
      <c r="AP48" s="562"/>
      <c r="AR48" s="409"/>
    </row>
    <row r="49" spans="2:44" s="83" customFormat="1" hidden="1">
      <c r="B49" s="79" t="s">
        <v>64</v>
      </c>
      <c r="C49" s="79"/>
      <c r="D49" s="80"/>
      <c r="E49" s="81"/>
      <c r="F49" s="81"/>
      <c r="G49" s="81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75"/>
      <c r="AD49" s="166"/>
      <c r="AE49" s="75"/>
      <c r="AF49" s="75"/>
      <c r="AG49" s="75"/>
      <c r="AH49" s="75"/>
      <c r="AI49" s="75"/>
      <c r="AJ49" s="75"/>
      <c r="AK49" s="75"/>
      <c r="AL49" s="166"/>
      <c r="AM49" s="166"/>
      <c r="AN49" s="166"/>
      <c r="AO49" s="76">
        <f t="shared" si="1"/>
        <v>0</v>
      </c>
      <c r="AP49" s="562"/>
      <c r="AR49" s="409"/>
    </row>
    <row r="50" spans="2:44" s="83" customFormat="1" hidden="1">
      <c r="B50" s="79" t="s">
        <v>64</v>
      </c>
      <c r="C50" s="79"/>
      <c r="D50" s="80"/>
      <c r="E50" s="81"/>
      <c r="F50" s="81"/>
      <c r="G50" s="81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75"/>
      <c r="AD50" s="75"/>
      <c r="AE50" s="75"/>
      <c r="AF50" s="166"/>
      <c r="AG50" s="166"/>
      <c r="AH50" s="75"/>
      <c r="AI50" s="75"/>
      <c r="AJ50" s="75"/>
      <c r="AK50" s="75"/>
      <c r="AL50" s="166"/>
      <c r="AM50" s="166"/>
      <c r="AN50" s="166"/>
      <c r="AO50" s="76">
        <f t="shared" si="1"/>
        <v>0</v>
      </c>
      <c r="AP50" s="562"/>
      <c r="AR50" s="409"/>
    </row>
    <row r="51" spans="2:44" s="83" customFormat="1" hidden="1">
      <c r="B51" s="79" t="s">
        <v>64</v>
      </c>
      <c r="C51" s="79"/>
      <c r="D51" s="80"/>
      <c r="E51" s="81"/>
      <c r="F51" s="81"/>
      <c r="G51" s="81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75"/>
      <c r="AD51" s="75"/>
      <c r="AE51" s="75"/>
      <c r="AF51" s="75"/>
      <c r="AG51" s="166"/>
      <c r="AH51" s="75"/>
      <c r="AI51" s="75"/>
      <c r="AJ51" s="75"/>
      <c r="AK51" s="75"/>
      <c r="AL51" s="166"/>
      <c r="AM51" s="166"/>
      <c r="AN51" s="166"/>
      <c r="AO51" s="76">
        <f t="shared" si="1"/>
        <v>0</v>
      </c>
      <c r="AP51" s="562"/>
      <c r="AR51" s="409"/>
    </row>
    <row r="52" spans="2:44" s="83" customFormat="1" hidden="1">
      <c r="B52" s="79" t="s">
        <v>64</v>
      </c>
      <c r="C52" s="79"/>
      <c r="D52" s="80"/>
      <c r="E52" s="81"/>
      <c r="F52" s="81"/>
      <c r="G52" s="81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75"/>
      <c r="AD52" s="75"/>
      <c r="AE52" s="75"/>
      <c r="AF52" s="75"/>
      <c r="AG52" s="166"/>
      <c r="AH52" s="75"/>
      <c r="AI52" s="75"/>
      <c r="AJ52" s="75"/>
      <c r="AK52" s="75"/>
      <c r="AL52" s="166"/>
      <c r="AM52" s="166"/>
      <c r="AN52" s="166"/>
      <c r="AO52" s="76">
        <f t="shared" si="1"/>
        <v>0</v>
      </c>
      <c r="AP52" s="562"/>
      <c r="AR52" s="409"/>
    </row>
    <row r="53" spans="2:44" s="83" customFormat="1" hidden="1">
      <c r="B53" s="79" t="s">
        <v>64</v>
      </c>
      <c r="C53" s="79"/>
      <c r="D53" s="80"/>
      <c r="E53" s="81"/>
      <c r="F53" s="81"/>
      <c r="G53" s="81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75"/>
      <c r="AD53" s="166"/>
      <c r="AE53" s="75"/>
      <c r="AF53" s="75"/>
      <c r="AG53" s="166"/>
      <c r="AH53" s="75"/>
      <c r="AI53" s="75"/>
      <c r="AJ53" s="75"/>
      <c r="AK53" s="75"/>
      <c r="AL53" s="166"/>
      <c r="AM53" s="166"/>
      <c r="AN53" s="166"/>
      <c r="AO53" s="76">
        <f t="shared" si="1"/>
        <v>0</v>
      </c>
      <c r="AP53" s="562"/>
      <c r="AR53" s="409"/>
    </row>
    <row r="54" spans="2:44" s="83" customFormat="1" hidden="1">
      <c r="B54" s="79" t="s">
        <v>64</v>
      </c>
      <c r="C54" s="79"/>
      <c r="D54" s="80"/>
      <c r="E54" s="81"/>
      <c r="F54" s="81"/>
      <c r="G54" s="81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75"/>
      <c r="AD54" s="75"/>
      <c r="AE54" s="75"/>
      <c r="AF54" s="75"/>
      <c r="AG54" s="166"/>
      <c r="AH54" s="75"/>
      <c r="AI54" s="75"/>
      <c r="AJ54" s="75"/>
      <c r="AK54" s="75"/>
      <c r="AL54" s="166"/>
      <c r="AM54" s="166"/>
      <c r="AN54" s="166"/>
      <c r="AO54" s="76">
        <f t="shared" si="1"/>
        <v>0</v>
      </c>
      <c r="AP54" s="562"/>
      <c r="AR54" s="409"/>
    </row>
    <row r="55" spans="2:44" s="83" customFormat="1" hidden="1">
      <c r="B55" s="79" t="s">
        <v>64</v>
      </c>
      <c r="C55" s="79"/>
      <c r="D55" s="80"/>
      <c r="E55" s="81"/>
      <c r="F55" s="81"/>
      <c r="G55" s="81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75"/>
      <c r="AD55" s="75"/>
      <c r="AE55" s="75"/>
      <c r="AF55" s="75"/>
      <c r="AG55" s="166"/>
      <c r="AH55" s="75"/>
      <c r="AI55" s="75"/>
      <c r="AJ55" s="75"/>
      <c r="AK55" s="75"/>
      <c r="AL55" s="166"/>
      <c r="AM55" s="166"/>
      <c r="AN55" s="166"/>
      <c r="AO55" s="76">
        <f t="shared" si="1"/>
        <v>0</v>
      </c>
      <c r="AP55" s="562"/>
      <c r="AR55" s="409"/>
    </row>
    <row r="56" spans="2:44" s="83" customFormat="1" hidden="1">
      <c r="B56" s="79" t="s">
        <v>64</v>
      </c>
      <c r="C56" s="79"/>
      <c r="D56" s="80"/>
      <c r="E56" s="81"/>
      <c r="F56" s="81"/>
      <c r="G56" s="81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75"/>
      <c r="AD56" s="75"/>
      <c r="AE56" s="75"/>
      <c r="AF56" s="75"/>
      <c r="AG56" s="166"/>
      <c r="AH56" s="75"/>
      <c r="AI56" s="75"/>
      <c r="AJ56" s="75"/>
      <c r="AK56" s="75"/>
      <c r="AL56" s="166"/>
      <c r="AM56" s="166"/>
      <c r="AN56" s="166"/>
      <c r="AO56" s="76">
        <f t="shared" si="1"/>
        <v>0</v>
      </c>
      <c r="AP56" s="562"/>
      <c r="AR56" s="409"/>
    </row>
    <row r="57" spans="2:44" s="83" customFormat="1" hidden="1">
      <c r="B57" s="79" t="s">
        <v>64</v>
      </c>
      <c r="C57" s="79"/>
      <c r="D57" s="80"/>
      <c r="E57" s="81"/>
      <c r="F57" s="81"/>
      <c r="G57" s="81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75"/>
      <c r="AD57" s="75"/>
      <c r="AE57" s="75"/>
      <c r="AF57" s="75"/>
      <c r="AG57" s="166"/>
      <c r="AH57" s="75"/>
      <c r="AI57" s="75"/>
      <c r="AJ57" s="75"/>
      <c r="AK57" s="75"/>
      <c r="AL57" s="166"/>
      <c r="AM57" s="166"/>
      <c r="AN57" s="166"/>
      <c r="AO57" s="76">
        <f t="shared" si="1"/>
        <v>0</v>
      </c>
      <c r="AP57" s="562"/>
      <c r="AR57" s="409"/>
    </row>
    <row r="58" spans="2:44" s="83" customFormat="1" hidden="1">
      <c r="B58" s="79" t="s">
        <v>64</v>
      </c>
      <c r="C58" s="79"/>
      <c r="D58" s="80"/>
      <c r="E58" s="81"/>
      <c r="F58" s="81"/>
      <c r="G58" s="81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75"/>
      <c r="AD58" s="75"/>
      <c r="AE58" s="75"/>
      <c r="AF58" s="75"/>
      <c r="AG58" s="166"/>
      <c r="AH58" s="75"/>
      <c r="AI58" s="75"/>
      <c r="AJ58" s="75"/>
      <c r="AK58" s="75"/>
      <c r="AL58" s="166"/>
      <c r="AM58" s="166"/>
      <c r="AN58" s="166"/>
      <c r="AO58" s="76">
        <f t="shared" si="1"/>
        <v>0</v>
      </c>
      <c r="AP58" s="562"/>
      <c r="AR58" s="409"/>
    </row>
    <row r="59" spans="2:44" s="83" customFormat="1" hidden="1">
      <c r="B59" s="79" t="s">
        <v>64</v>
      </c>
      <c r="C59" s="79"/>
      <c r="D59" s="80"/>
      <c r="E59" s="81"/>
      <c r="F59" s="81"/>
      <c r="G59" s="81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75"/>
      <c r="AD59" s="75"/>
      <c r="AE59" s="75"/>
      <c r="AF59" s="75"/>
      <c r="AG59" s="166"/>
      <c r="AH59" s="75"/>
      <c r="AI59" s="75"/>
      <c r="AJ59" s="75"/>
      <c r="AK59" s="75"/>
      <c r="AL59" s="166"/>
      <c r="AM59" s="166"/>
      <c r="AN59" s="166"/>
      <c r="AO59" s="76">
        <f t="shared" si="1"/>
        <v>0</v>
      </c>
      <c r="AP59" s="562"/>
      <c r="AR59" s="409"/>
    </row>
    <row r="60" spans="2:44" s="83" customFormat="1" hidden="1">
      <c r="B60" s="79" t="s">
        <v>64</v>
      </c>
      <c r="C60" s="79"/>
      <c r="D60" s="80"/>
      <c r="E60" s="81"/>
      <c r="F60" s="81"/>
      <c r="G60" s="81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75"/>
      <c r="AD60" s="75"/>
      <c r="AE60" s="75"/>
      <c r="AF60" s="75"/>
      <c r="AG60" s="166"/>
      <c r="AH60" s="75"/>
      <c r="AI60" s="75"/>
      <c r="AJ60" s="75"/>
      <c r="AK60" s="75"/>
      <c r="AL60" s="166"/>
      <c r="AM60" s="166"/>
      <c r="AN60" s="166"/>
      <c r="AO60" s="76">
        <f t="shared" si="1"/>
        <v>0</v>
      </c>
      <c r="AP60" s="562"/>
      <c r="AR60" s="409"/>
    </row>
    <row r="61" spans="2:44" s="83" customFormat="1" hidden="1">
      <c r="B61" s="79" t="s">
        <v>64</v>
      </c>
      <c r="C61" s="79"/>
      <c r="D61" s="80"/>
      <c r="E61" s="81"/>
      <c r="F61" s="81"/>
      <c r="G61" s="81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75"/>
      <c r="AD61" s="75"/>
      <c r="AE61" s="166"/>
      <c r="AF61" s="75"/>
      <c r="AG61" s="166"/>
      <c r="AH61" s="166"/>
      <c r="AI61" s="75"/>
      <c r="AJ61" s="75"/>
      <c r="AK61" s="75"/>
      <c r="AL61" s="166"/>
      <c r="AM61" s="166"/>
      <c r="AN61" s="166"/>
      <c r="AO61" s="76">
        <f t="shared" si="1"/>
        <v>0</v>
      </c>
      <c r="AP61" s="562"/>
      <c r="AR61" s="409"/>
    </row>
    <row r="62" spans="2:44" s="83" customFormat="1" hidden="1">
      <c r="B62" s="79" t="s">
        <v>64</v>
      </c>
      <c r="C62" s="79"/>
      <c r="D62" s="80"/>
      <c r="E62" s="81"/>
      <c r="F62" s="81"/>
      <c r="G62" s="81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75"/>
      <c r="AD62" s="75"/>
      <c r="AE62" s="75"/>
      <c r="AF62" s="75"/>
      <c r="AG62" s="166"/>
      <c r="AH62" s="75"/>
      <c r="AI62" s="75"/>
      <c r="AJ62" s="75"/>
      <c r="AK62" s="75"/>
      <c r="AL62" s="166"/>
      <c r="AM62" s="166"/>
      <c r="AN62" s="166"/>
      <c r="AO62" s="76">
        <f t="shared" si="1"/>
        <v>0</v>
      </c>
      <c r="AP62" s="562"/>
      <c r="AR62" s="409"/>
    </row>
    <row r="63" spans="2:44" s="83" customFormat="1" hidden="1">
      <c r="B63" s="79" t="s">
        <v>64</v>
      </c>
      <c r="C63" s="79"/>
      <c r="D63" s="80"/>
      <c r="E63" s="81"/>
      <c r="F63" s="81"/>
      <c r="G63" s="81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75"/>
      <c r="AD63" s="75"/>
      <c r="AE63" s="75"/>
      <c r="AF63" s="75"/>
      <c r="AG63" s="166"/>
      <c r="AH63" s="75"/>
      <c r="AI63" s="75"/>
      <c r="AJ63" s="75"/>
      <c r="AK63" s="75"/>
      <c r="AL63" s="166"/>
      <c r="AM63" s="166"/>
      <c r="AN63" s="166"/>
      <c r="AO63" s="76">
        <f t="shared" si="1"/>
        <v>0</v>
      </c>
      <c r="AP63" s="562"/>
      <c r="AR63" s="409"/>
    </row>
    <row r="64" spans="2:44" s="83" customFormat="1" hidden="1">
      <c r="B64" s="79" t="s">
        <v>64</v>
      </c>
      <c r="C64" s="79"/>
      <c r="D64" s="80"/>
      <c r="E64" s="81"/>
      <c r="F64" s="81"/>
      <c r="G64" s="81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75"/>
      <c r="AD64" s="75"/>
      <c r="AE64" s="75"/>
      <c r="AF64" s="75"/>
      <c r="AG64" s="166"/>
      <c r="AH64" s="75"/>
      <c r="AI64" s="75"/>
      <c r="AJ64" s="75"/>
      <c r="AK64" s="75"/>
      <c r="AL64" s="166"/>
      <c r="AM64" s="166"/>
      <c r="AN64" s="166"/>
      <c r="AO64" s="76">
        <f t="shared" si="1"/>
        <v>0</v>
      </c>
      <c r="AP64" s="562"/>
      <c r="AR64" s="409"/>
    </row>
    <row r="65" spans="2:44" s="83" customFormat="1" hidden="1">
      <c r="B65" s="79" t="s">
        <v>64</v>
      </c>
      <c r="C65" s="79"/>
      <c r="D65" s="80"/>
      <c r="E65" s="81"/>
      <c r="F65" s="81"/>
      <c r="G65" s="81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75"/>
      <c r="AD65" s="75"/>
      <c r="AE65" s="75"/>
      <c r="AF65" s="75"/>
      <c r="AG65" s="166"/>
      <c r="AH65" s="75"/>
      <c r="AI65" s="75"/>
      <c r="AJ65" s="75"/>
      <c r="AK65" s="75"/>
      <c r="AL65" s="166"/>
      <c r="AM65" s="166"/>
      <c r="AN65" s="166"/>
      <c r="AO65" s="76">
        <f t="shared" si="1"/>
        <v>0</v>
      </c>
      <c r="AP65" s="562"/>
      <c r="AR65" s="409"/>
    </row>
    <row r="66" spans="2:44" s="83" customFormat="1" hidden="1">
      <c r="B66" s="79" t="s">
        <v>64</v>
      </c>
      <c r="C66" s="79"/>
      <c r="D66" s="80"/>
      <c r="E66" s="81"/>
      <c r="F66" s="81"/>
      <c r="G66" s="81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75"/>
      <c r="AD66" s="75"/>
      <c r="AE66" s="75"/>
      <c r="AF66" s="75"/>
      <c r="AG66" s="166"/>
      <c r="AH66" s="75"/>
      <c r="AI66" s="75"/>
      <c r="AJ66" s="75"/>
      <c r="AK66" s="75"/>
      <c r="AL66" s="166"/>
      <c r="AM66" s="166"/>
      <c r="AN66" s="166"/>
      <c r="AO66" s="76">
        <f t="shared" si="1"/>
        <v>0</v>
      </c>
      <c r="AP66" s="562"/>
      <c r="AR66" s="409"/>
    </row>
    <row r="67" spans="2:44" s="83" customFormat="1" hidden="1">
      <c r="B67" s="79" t="s">
        <v>64</v>
      </c>
      <c r="C67" s="79"/>
      <c r="D67" s="80"/>
      <c r="E67" s="81"/>
      <c r="F67" s="81"/>
      <c r="G67" s="81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75"/>
      <c r="AD67" s="166"/>
      <c r="AE67" s="75"/>
      <c r="AF67" s="75"/>
      <c r="AG67" s="166"/>
      <c r="AH67" s="75"/>
      <c r="AI67" s="75"/>
      <c r="AJ67" s="75"/>
      <c r="AK67" s="75"/>
      <c r="AL67" s="166"/>
      <c r="AM67" s="166"/>
      <c r="AN67" s="166"/>
      <c r="AO67" s="76">
        <f t="shared" si="1"/>
        <v>0</v>
      </c>
      <c r="AP67" s="562"/>
      <c r="AR67" s="409"/>
    </row>
    <row r="68" spans="2:44" s="83" customFormat="1" hidden="1">
      <c r="B68" s="79" t="s">
        <v>64</v>
      </c>
      <c r="C68" s="79"/>
      <c r="D68" s="80"/>
      <c r="E68" s="81"/>
      <c r="F68" s="81"/>
      <c r="G68" s="81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75"/>
      <c r="AD68" s="75"/>
      <c r="AE68" s="75"/>
      <c r="AF68" s="75"/>
      <c r="AG68" s="166"/>
      <c r="AH68" s="75"/>
      <c r="AI68" s="75"/>
      <c r="AJ68" s="75"/>
      <c r="AK68" s="75"/>
      <c r="AL68" s="166"/>
      <c r="AM68" s="166"/>
      <c r="AN68" s="166"/>
      <c r="AO68" s="76">
        <f t="shared" si="1"/>
        <v>0</v>
      </c>
      <c r="AP68" s="562"/>
      <c r="AR68" s="409"/>
    </row>
    <row r="69" spans="2:44" s="83" customFormat="1" hidden="1">
      <c r="B69" s="79" t="s">
        <v>64</v>
      </c>
      <c r="C69" s="79"/>
      <c r="D69" s="80"/>
      <c r="E69" s="81"/>
      <c r="F69" s="81"/>
      <c r="G69" s="81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75"/>
      <c r="AD69" s="75"/>
      <c r="AE69" s="75"/>
      <c r="AF69" s="75"/>
      <c r="AG69" s="75"/>
      <c r="AH69" s="75"/>
      <c r="AI69" s="75"/>
      <c r="AJ69" s="75"/>
      <c r="AK69" s="75"/>
      <c r="AL69" s="166"/>
      <c r="AM69" s="166"/>
      <c r="AN69" s="166"/>
      <c r="AO69" s="76">
        <f t="shared" ref="AO69:AO100" si="2">SUM(I69:AN69)</f>
        <v>0</v>
      </c>
      <c r="AP69" s="562"/>
      <c r="AR69" s="409"/>
    </row>
    <row r="70" spans="2:44" s="83" customFormat="1" hidden="1">
      <c r="B70" s="79" t="s">
        <v>64</v>
      </c>
      <c r="C70" s="79"/>
      <c r="D70" s="80"/>
      <c r="E70" s="81"/>
      <c r="F70" s="81"/>
      <c r="G70" s="81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75"/>
      <c r="AD70" s="75"/>
      <c r="AE70" s="75"/>
      <c r="AF70" s="75"/>
      <c r="AG70" s="75"/>
      <c r="AH70" s="75"/>
      <c r="AI70" s="75"/>
      <c r="AJ70" s="75"/>
      <c r="AK70" s="75"/>
      <c r="AL70" s="166"/>
      <c r="AM70" s="166"/>
      <c r="AN70" s="166"/>
      <c r="AO70" s="76">
        <f t="shared" si="2"/>
        <v>0</v>
      </c>
      <c r="AP70" s="562"/>
      <c r="AR70" s="409"/>
    </row>
    <row r="71" spans="2:44" s="83" customFormat="1" hidden="1">
      <c r="B71" s="79" t="s">
        <v>64</v>
      </c>
      <c r="C71" s="79"/>
      <c r="D71" s="80"/>
      <c r="E71" s="81"/>
      <c r="F71" s="81"/>
      <c r="G71" s="81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75"/>
      <c r="AD71" s="75"/>
      <c r="AE71" s="75"/>
      <c r="AF71" s="75"/>
      <c r="AG71" s="75"/>
      <c r="AH71" s="75"/>
      <c r="AI71" s="75"/>
      <c r="AJ71" s="75"/>
      <c r="AK71" s="75"/>
      <c r="AL71" s="166"/>
      <c r="AM71" s="166"/>
      <c r="AN71" s="166"/>
      <c r="AO71" s="76">
        <f t="shared" si="2"/>
        <v>0</v>
      </c>
      <c r="AP71" s="562"/>
      <c r="AR71" s="409"/>
    </row>
    <row r="72" spans="2:44" s="83" customFormat="1" hidden="1">
      <c r="B72" s="79" t="s">
        <v>64</v>
      </c>
      <c r="C72" s="79"/>
      <c r="D72" s="80"/>
      <c r="E72" s="81"/>
      <c r="F72" s="81"/>
      <c r="G72" s="81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75"/>
      <c r="AD72" s="75"/>
      <c r="AE72" s="75"/>
      <c r="AF72" s="75"/>
      <c r="AG72" s="75"/>
      <c r="AH72" s="75"/>
      <c r="AI72" s="75"/>
      <c r="AJ72" s="75"/>
      <c r="AK72" s="75"/>
      <c r="AL72" s="166"/>
      <c r="AM72" s="166"/>
      <c r="AN72" s="166"/>
      <c r="AO72" s="76">
        <f t="shared" si="2"/>
        <v>0</v>
      </c>
      <c r="AP72" s="562"/>
      <c r="AR72" s="409"/>
    </row>
    <row r="73" spans="2:44" s="83" customFormat="1" hidden="1">
      <c r="B73" s="79" t="s">
        <v>64</v>
      </c>
      <c r="C73" s="79"/>
      <c r="D73" s="80"/>
      <c r="E73" s="81"/>
      <c r="F73" s="81"/>
      <c r="G73" s="81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75"/>
      <c r="AD73" s="75"/>
      <c r="AE73" s="75"/>
      <c r="AF73" s="75"/>
      <c r="AG73" s="75"/>
      <c r="AH73" s="75"/>
      <c r="AI73" s="75"/>
      <c r="AJ73" s="75"/>
      <c r="AK73" s="75"/>
      <c r="AL73" s="166"/>
      <c r="AM73" s="166"/>
      <c r="AN73" s="166"/>
      <c r="AO73" s="76">
        <f t="shared" si="2"/>
        <v>0</v>
      </c>
      <c r="AP73" s="562"/>
      <c r="AR73" s="409"/>
    </row>
    <row r="74" spans="2:44" s="83" customFormat="1" hidden="1">
      <c r="B74" s="79" t="s">
        <v>64</v>
      </c>
      <c r="C74" s="79"/>
      <c r="D74" s="80"/>
      <c r="E74" s="81"/>
      <c r="F74" s="81"/>
      <c r="G74" s="81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75"/>
      <c r="AD74" s="75"/>
      <c r="AE74" s="75"/>
      <c r="AF74" s="75"/>
      <c r="AG74" s="75"/>
      <c r="AH74" s="75"/>
      <c r="AI74" s="75"/>
      <c r="AJ74" s="75"/>
      <c r="AK74" s="75"/>
      <c r="AL74" s="166"/>
      <c r="AM74" s="166"/>
      <c r="AN74" s="166"/>
      <c r="AO74" s="76">
        <f t="shared" si="2"/>
        <v>0</v>
      </c>
      <c r="AP74" s="562"/>
      <c r="AR74" s="409"/>
    </row>
    <row r="75" spans="2:44" s="83" customFormat="1" hidden="1">
      <c r="B75" s="79" t="s">
        <v>64</v>
      </c>
      <c r="C75" s="79"/>
      <c r="D75" s="80"/>
      <c r="E75" s="81"/>
      <c r="F75" s="81"/>
      <c r="G75" s="81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75"/>
      <c r="AD75" s="75"/>
      <c r="AE75" s="75"/>
      <c r="AF75" s="75"/>
      <c r="AG75" s="75"/>
      <c r="AH75" s="75"/>
      <c r="AI75" s="75"/>
      <c r="AJ75" s="75"/>
      <c r="AK75" s="75"/>
      <c r="AL75" s="166"/>
      <c r="AM75" s="166"/>
      <c r="AN75" s="166"/>
      <c r="AO75" s="76">
        <f t="shared" si="2"/>
        <v>0</v>
      </c>
      <c r="AP75" s="562"/>
      <c r="AR75" s="409"/>
    </row>
    <row r="76" spans="2:44" s="83" customFormat="1" ht="16.5" hidden="1" thickBot="1">
      <c r="B76" s="79" t="s">
        <v>64</v>
      </c>
      <c r="C76" s="79"/>
      <c r="D76" s="80"/>
      <c r="E76" s="81"/>
      <c r="F76" s="81"/>
      <c r="G76" s="81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75"/>
      <c r="AD76" s="75"/>
      <c r="AE76" s="75"/>
      <c r="AF76" s="75"/>
      <c r="AG76" s="75"/>
      <c r="AH76" s="75"/>
      <c r="AI76" s="75"/>
      <c r="AJ76" s="75"/>
      <c r="AK76" s="75"/>
      <c r="AL76" s="166"/>
      <c r="AM76" s="166"/>
      <c r="AN76" s="166"/>
      <c r="AO76" s="76">
        <f t="shared" si="2"/>
        <v>0</v>
      </c>
      <c r="AP76" s="562"/>
      <c r="AR76" s="409"/>
    </row>
    <row r="77" spans="2:44" s="83" customFormat="1" hidden="1">
      <c r="B77" s="79" t="s">
        <v>64</v>
      </c>
      <c r="C77" s="79"/>
      <c r="D77" s="80"/>
      <c r="E77" s="81"/>
      <c r="F77" s="81"/>
      <c r="G77" s="81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75"/>
      <c r="AD77" s="75"/>
      <c r="AE77" s="75"/>
      <c r="AF77" s="75"/>
      <c r="AG77" s="75"/>
      <c r="AH77" s="75"/>
      <c r="AI77" s="75"/>
      <c r="AJ77" s="75"/>
      <c r="AK77" s="75"/>
      <c r="AL77" s="166"/>
      <c r="AM77" s="166"/>
      <c r="AN77" s="166"/>
      <c r="AO77" s="76">
        <f t="shared" si="2"/>
        <v>0</v>
      </c>
      <c r="AP77" s="561">
        <f>SUM(AO77:AO83)</f>
        <v>0</v>
      </c>
      <c r="AR77" s="409"/>
    </row>
    <row r="78" spans="2:44" s="83" customFormat="1" hidden="1">
      <c r="B78" s="79" t="s">
        <v>64</v>
      </c>
      <c r="C78" s="79"/>
      <c r="D78" s="80"/>
      <c r="E78" s="81"/>
      <c r="F78" s="81"/>
      <c r="G78" s="81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75"/>
      <c r="AD78" s="75"/>
      <c r="AE78" s="75"/>
      <c r="AF78" s="75"/>
      <c r="AG78" s="75"/>
      <c r="AH78" s="75"/>
      <c r="AI78" s="75"/>
      <c r="AJ78" s="75"/>
      <c r="AK78" s="75"/>
      <c r="AL78" s="166"/>
      <c r="AM78" s="166"/>
      <c r="AN78" s="166"/>
      <c r="AO78" s="76">
        <f t="shared" si="2"/>
        <v>0</v>
      </c>
      <c r="AP78" s="562"/>
      <c r="AR78" s="409"/>
    </row>
    <row r="79" spans="2:44" s="83" customFormat="1" hidden="1">
      <c r="B79" s="79" t="s">
        <v>64</v>
      </c>
      <c r="C79" s="79"/>
      <c r="D79" s="80"/>
      <c r="E79" s="81"/>
      <c r="F79" s="81"/>
      <c r="G79" s="81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75"/>
      <c r="AD79" s="75"/>
      <c r="AE79" s="75"/>
      <c r="AF79" s="75"/>
      <c r="AG79" s="75"/>
      <c r="AH79" s="75"/>
      <c r="AI79" s="75"/>
      <c r="AJ79" s="75"/>
      <c r="AK79" s="75"/>
      <c r="AL79" s="166"/>
      <c r="AM79" s="166"/>
      <c r="AN79" s="166"/>
      <c r="AO79" s="76">
        <f t="shared" si="2"/>
        <v>0</v>
      </c>
      <c r="AP79" s="562"/>
      <c r="AR79" s="409"/>
    </row>
    <row r="80" spans="2:44" s="83" customFormat="1" hidden="1">
      <c r="B80" s="79" t="s">
        <v>64</v>
      </c>
      <c r="C80" s="79"/>
      <c r="D80" s="80"/>
      <c r="E80" s="81"/>
      <c r="F80" s="81"/>
      <c r="G80" s="81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75"/>
      <c r="AD80" s="75"/>
      <c r="AE80" s="75"/>
      <c r="AF80" s="75"/>
      <c r="AG80" s="75"/>
      <c r="AH80" s="75"/>
      <c r="AI80" s="75"/>
      <c r="AJ80" s="75"/>
      <c r="AK80" s="75"/>
      <c r="AL80" s="166"/>
      <c r="AM80" s="166"/>
      <c r="AN80" s="166"/>
      <c r="AO80" s="76">
        <f t="shared" si="2"/>
        <v>0</v>
      </c>
      <c r="AP80" s="562"/>
      <c r="AR80" s="409"/>
    </row>
    <row r="81" spans="2:44" s="83" customFormat="1" hidden="1">
      <c r="B81" s="79" t="s">
        <v>64</v>
      </c>
      <c r="C81" s="79"/>
      <c r="D81" s="80"/>
      <c r="E81" s="81"/>
      <c r="F81" s="81"/>
      <c r="G81" s="81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75"/>
      <c r="AD81" s="75"/>
      <c r="AE81" s="75"/>
      <c r="AF81" s="75"/>
      <c r="AG81" s="75"/>
      <c r="AH81" s="75"/>
      <c r="AI81" s="75"/>
      <c r="AJ81" s="75"/>
      <c r="AK81" s="75"/>
      <c r="AL81" s="166"/>
      <c r="AM81" s="166"/>
      <c r="AN81" s="166"/>
      <c r="AO81" s="76">
        <f t="shared" si="2"/>
        <v>0</v>
      </c>
      <c r="AP81" s="562"/>
      <c r="AR81" s="409"/>
    </row>
    <row r="82" spans="2:44" s="83" customFormat="1" hidden="1">
      <c r="B82" s="79" t="s">
        <v>64</v>
      </c>
      <c r="C82" s="79"/>
      <c r="D82" s="80"/>
      <c r="E82" s="81"/>
      <c r="F82" s="81"/>
      <c r="G82" s="81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75"/>
      <c r="AD82" s="75"/>
      <c r="AE82" s="75"/>
      <c r="AF82" s="75"/>
      <c r="AG82" s="75"/>
      <c r="AH82" s="75"/>
      <c r="AI82" s="75"/>
      <c r="AJ82" s="75"/>
      <c r="AK82" s="75"/>
      <c r="AL82" s="166"/>
      <c r="AM82" s="166"/>
      <c r="AN82" s="166"/>
      <c r="AO82" s="76">
        <f t="shared" si="2"/>
        <v>0</v>
      </c>
      <c r="AP82" s="562"/>
      <c r="AR82" s="409"/>
    </row>
    <row r="83" spans="2:44" s="83" customFormat="1" ht="16.5" hidden="1" thickBot="1">
      <c r="B83" s="79" t="s">
        <v>64</v>
      </c>
      <c r="C83" s="79"/>
      <c r="D83" s="80"/>
      <c r="E83" s="81"/>
      <c r="F83" s="81"/>
      <c r="G83" s="81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75"/>
      <c r="AD83" s="75"/>
      <c r="AE83" s="75"/>
      <c r="AF83" s="75"/>
      <c r="AG83" s="75"/>
      <c r="AH83" s="75"/>
      <c r="AI83" s="166"/>
      <c r="AJ83" s="75"/>
      <c r="AK83" s="75"/>
      <c r="AL83" s="166"/>
      <c r="AM83" s="166"/>
      <c r="AN83" s="166"/>
      <c r="AO83" s="76">
        <f t="shared" si="2"/>
        <v>0</v>
      </c>
      <c r="AP83" s="563"/>
      <c r="AR83" s="409"/>
    </row>
    <row r="84" spans="2:44" s="83" customFormat="1" hidden="1">
      <c r="B84" s="79" t="s">
        <v>64</v>
      </c>
      <c r="C84" s="79"/>
      <c r="D84" s="80"/>
      <c r="E84" s="81"/>
      <c r="F84" s="81"/>
      <c r="G84" s="81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75"/>
      <c r="AD84" s="75"/>
      <c r="AE84" s="75"/>
      <c r="AF84" s="75"/>
      <c r="AG84" s="75"/>
      <c r="AH84" s="75"/>
      <c r="AI84" s="166"/>
      <c r="AJ84" s="75"/>
      <c r="AK84" s="75"/>
      <c r="AL84" s="166"/>
      <c r="AM84" s="166"/>
      <c r="AN84" s="166"/>
      <c r="AO84" s="76">
        <f t="shared" si="2"/>
        <v>0</v>
      </c>
      <c r="AP84" s="488"/>
      <c r="AR84" s="409"/>
    </row>
    <row r="85" spans="2:44" s="83" customFormat="1" hidden="1">
      <c r="B85" s="79" t="s">
        <v>64</v>
      </c>
      <c r="C85" s="79"/>
      <c r="D85" s="80"/>
      <c r="E85" s="81"/>
      <c r="F85" s="81"/>
      <c r="G85" s="81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75"/>
      <c r="AD85" s="75"/>
      <c r="AE85" s="75"/>
      <c r="AF85" s="75"/>
      <c r="AG85" s="75"/>
      <c r="AH85" s="75"/>
      <c r="AI85" s="75"/>
      <c r="AJ85" s="75"/>
      <c r="AK85" s="75"/>
      <c r="AL85" s="166"/>
      <c r="AM85" s="166"/>
      <c r="AN85" s="166"/>
      <c r="AO85" s="76">
        <f t="shared" si="2"/>
        <v>0</v>
      </c>
      <c r="AP85" s="422"/>
      <c r="AR85" s="409"/>
    </row>
    <row r="86" spans="2:44" s="83" customFormat="1" hidden="1">
      <c r="B86" s="79" t="s">
        <v>64</v>
      </c>
      <c r="C86" s="79"/>
      <c r="D86" s="80"/>
      <c r="E86" s="81"/>
      <c r="F86" s="81"/>
      <c r="G86" s="81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75"/>
      <c r="AD86" s="75"/>
      <c r="AE86" s="75"/>
      <c r="AF86" s="75"/>
      <c r="AG86" s="75"/>
      <c r="AH86" s="75"/>
      <c r="AI86" s="75"/>
      <c r="AJ86" s="75"/>
      <c r="AK86" s="75"/>
      <c r="AL86" s="166"/>
      <c r="AM86" s="166"/>
      <c r="AN86" s="166"/>
      <c r="AO86" s="76">
        <f t="shared" si="2"/>
        <v>0</v>
      </c>
      <c r="AP86" s="422"/>
      <c r="AR86" s="409"/>
    </row>
    <row r="87" spans="2:44" s="83" customFormat="1" hidden="1">
      <c r="B87" s="79" t="s">
        <v>64</v>
      </c>
      <c r="C87" s="79"/>
      <c r="D87" s="80"/>
      <c r="E87" s="81"/>
      <c r="F87" s="81"/>
      <c r="G87" s="81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75"/>
      <c r="AD87" s="166"/>
      <c r="AE87" s="75"/>
      <c r="AF87" s="75"/>
      <c r="AG87" s="75"/>
      <c r="AH87" s="75"/>
      <c r="AI87" s="75"/>
      <c r="AJ87" s="75"/>
      <c r="AK87" s="75"/>
      <c r="AL87" s="166"/>
      <c r="AM87" s="166"/>
      <c r="AN87" s="166"/>
      <c r="AO87" s="76">
        <f t="shared" si="2"/>
        <v>0</v>
      </c>
      <c r="AP87" s="422"/>
      <c r="AR87" s="409"/>
    </row>
    <row r="88" spans="2:44" s="83" customFormat="1" hidden="1">
      <c r="B88" s="79" t="s">
        <v>64</v>
      </c>
      <c r="C88" s="79"/>
      <c r="D88" s="80"/>
      <c r="E88" s="81"/>
      <c r="F88" s="81"/>
      <c r="G88" s="81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75"/>
      <c r="AD88" s="75"/>
      <c r="AE88" s="75"/>
      <c r="AF88" s="75"/>
      <c r="AG88" s="75"/>
      <c r="AH88" s="75"/>
      <c r="AI88" s="75"/>
      <c r="AJ88" s="75"/>
      <c r="AK88" s="75"/>
      <c r="AL88" s="166"/>
      <c r="AM88" s="166"/>
      <c r="AN88" s="166"/>
      <c r="AO88" s="76">
        <f t="shared" si="2"/>
        <v>0</v>
      </c>
      <c r="AP88" s="422"/>
      <c r="AR88" s="409"/>
    </row>
    <row r="89" spans="2:44" s="83" customFormat="1" hidden="1">
      <c r="B89" s="79" t="s">
        <v>64</v>
      </c>
      <c r="C89" s="79"/>
      <c r="D89" s="80"/>
      <c r="E89" s="81"/>
      <c r="F89" s="81"/>
      <c r="G89" s="81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75"/>
      <c r="AD89" s="75"/>
      <c r="AE89" s="75"/>
      <c r="AF89" s="75"/>
      <c r="AG89" s="75"/>
      <c r="AH89" s="75"/>
      <c r="AI89" s="75"/>
      <c r="AJ89" s="75"/>
      <c r="AK89" s="75"/>
      <c r="AL89" s="166"/>
      <c r="AM89" s="166"/>
      <c r="AN89" s="166"/>
      <c r="AO89" s="76">
        <f t="shared" si="2"/>
        <v>0</v>
      </c>
      <c r="AP89" s="422"/>
      <c r="AR89" s="409"/>
    </row>
    <row r="90" spans="2:44" s="83" customFormat="1" hidden="1">
      <c r="B90" s="79" t="s">
        <v>64</v>
      </c>
      <c r="C90" s="79"/>
      <c r="D90" s="80"/>
      <c r="E90" s="81"/>
      <c r="F90" s="81"/>
      <c r="G90" s="81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75"/>
      <c r="AD90" s="75"/>
      <c r="AE90" s="75"/>
      <c r="AF90" s="75"/>
      <c r="AG90" s="75"/>
      <c r="AH90" s="75"/>
      <c r="AI90" s="75"/>
      <c r="AJ90" s="75"/>
      <c r="AK90" s="75"/>
      <c r="AL90" s="166"/>
      <c r="AM90" s="166"/>
      <c r="AN90" s="166"/>
      <c r="AO90" s="76">
        <f t="shared" si="2"/>
        <v>0</v>
      </c>
      <c r="AP90" s="422"/>
      <c r="AR90" s="409"/>
    </row>
    <row r="91" spans="2:44" s="83" customFormat="1" hidden="1">
      <c r="B91" s="79" t="s">
        <v>64</v>
      </c>
      <c r="C91" s="79"/>
      <c r="D91" s="80"/>
      <c r="E91" s="81"/>
      <c r="F91" s="81"/>
      <c r="G91" s="81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75"/>
      <c r="AD91" s="75"/>
      <c r="AE91" s="75"/>
      <c r="AF91" s="75"/>
      <c r="AG91" s="75"/>
      <c r="AH91" s="75"/>
      <c r="AI91" s="75"/>
      <c r="AJ91" s="75"/>
      <c r="AK91" s="75"/>
      <c r="AL91" s="166"/>
      <c r="AM91" s="166"/>
      <c r="AN91" s="166"/>
      <c r="AO91" s="76">
        <f t="shared" si="2"/>
        <v>0</v>
      </c>
      <c r="AP91" s="422"/>
      <c r="AR91" s="409"/>
    </row>
    <row r="92" spans="2:44" s="83" customFormat="1" hidden="1">
      <c r="B92" s="79" t="s">
        <v>64</v>
      </c>
      <c r="C92" s="79"/>
      <c r="D92" s="80"/>
      <c r="E92" s="81"/>
      <c r="F92" s="81"/>
      <c r="G92" s="81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75"/>
      <c r="AD92" s="75"/>
      <c r="AE92" s="75"/>
      <c r="AF92" s="75"/>
      <c r="AG92" s="166"/>
      <c r="AH92" s="166"/>
      <c r="AI92" s="166"/>
      <c r="AJ92" s="166"/>
      <c r="AK92" s="166"/>
      <c r="AL92" s="166"/>
      <c r="AM92" s="166"/>
      <c r="AN92" s="166"/>
      <c r="AO92" s="76">
        <f t="shared" si="2"/>
        <v>0</v>
      </c>
      <c r="AP92" s="422"/>
      <c r="AR92" s="409"/>
    </row>
    <row r="93" spans="2:44" s="83" customFormat="1" hidden="1">
      <c r="B93" s="79" t="s">
        <v>64</v>
      </c>
      <c r="C93" s="79"/>
      <c r="D93" s="80"/>
      <c r="E93" s="81"/>
      <c r="F93" s="81"/>
      <c r="G93" s="81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75"/>
      <c r="AD93" s="75"/>
      <c r="AE93" s="75"/>
      <c r="AF93" s="75"/>
      <c r="AG93" s="166"/>
      <c r="AH93" s="166"/>
      <c r="AI93" s="166"/>
      <c r="AJ93" s="166"/>
      <c r="AK93" s="166"/>
      <c r="AL93" s="166"/>
      <c r="AM93" s="166"/>
      <c r="AN93" s="166"/>
      <c r="AO93" s="76">
        <f t="shared" si="2"/>
        <v>0</v>
      </c>
      <c r="AP93" s="422"/>
      <c r="AR93" s="409"/>
    </row>
    <row r="94" spans="2:44" s="83" customFormat="1" hidden="1">
      <c r="B94" s="79" t="s">
        <v>64</v>
      </c>
      <c r="C94" s="79"/>
      <c r="D94" s="80"/>
      <c r="E94" s="81"/>
      <c r="F94" s="81"/>
      <c r="G94" s="81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75"/>
      <c r="AD94" s="75"/>
      <c r="AE94" s="75"/>
      <c r="AF94" s="75"/>
      <c r="AG94" s="166"/>
      <c r="AH94" s="166"/>
      <c r="AI94" s="166"/>
      <c r="AJ94" s="166"/>
      <c r="AK94" s="166"/>
      <c r="AL94" s="166"/>
      <c r="AM94" s="166"/>
      <c r="AN94" s="166"/>
      <c r="AO94" s="76">
        <f t="shared" si="2"/>
        <v>0</v>
      </c>
      <c r="AP94" s="422"/>
      <c r="AR94" s="409"/>
    </row>
    <row r="95" spans="2:44" s="83" customFormat="1" hidden="1">
      <c r="B95" s="79" t="s">
        <v>64</v>
      </c>
      <c r="C95" s="79"/>
      <c r="D95" s="80"/>
      <c r="E95" s="81"/>
      <c r="F95" s="81"/>
      <c r="G95" s="81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75"/>
      <c r="AD95" s="75"/>
      <c r="AE95" s="75"/>
      <c r="AF95" s="75"/>
      <c r="AG95" s="166"/>
      <c r="AH95" s="166"/>
      <c r="AI95" s="166"/>
      <c r="AJ95" s="166"/>
      <c r="AK95" s="166"/>
      <c r="AL95" s="166"/>
      <c r="AM95" s="166"/>
      <c r="AN95" s="166"/>
      <c r="AO95" s="76">
        <f t="shared" si="2"/>
        <v>0</v>
      </c>
      <c r="AP95" s="422"/>
      <c r="AR95" s="409"/>
    </row>
    <row r="96" spans="2:44" s="83" customFormat="1" hidden="1">
      <c r="B96" s="79" t="s">
        <v>64</v>
      </c>
      <c r="C96" s="79"/>
      <c r="D96" s="80"/>
      <c r="E96" s="81"/>
      <c r="F96" s="81"/>
      <c r="G96" s="81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75"/>
      <c r="AD96" s="166"/>
      <c r="AE96" s="75"/>
      <c r="AF96" s="75"/>
      <c r="AG96" s="166"/>
      <c r="AH96" s="166"/>
      <c r="AI96" s="166"/>
      <c r="AJ96" s="166"/>
      <c r="AK96" s="166"/>
      <c r="AL96" s="166"/>
      <c r="AM96" s="166"/>
      <c r="AN96" s="166"/>
      <c r="AO96" s="76">
        <f t="shared" si="2"/>
        <v>0</v>
      </c>
      <c r="AP96" s="422"/>
      <c r="AR96" s="409"/>
    </row>
    <row r="97" spans="2:44" s="83" customFormat="1" hidden="1">
      <c r="B97" s="79" t="s">
        <v>64</v>
      </c>
      <c r="C97" s="79"/>
      <c r="D97" s="80"/>
      <c r="E97" s="81"/>
      <c r="F97" s="81"/>
      <c r="G97" s="81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75"/>
      <c r="AD97" s="75"/>
      <c r="AE97" s="75"/>
      <c r="AF97" s="75"/>
      <c r="AG97" s="166"/>
      <c r="AH97" s="166"/>
      <c r="AI97" s="166"/>
      <c r="AJ97" s="166"/>
      <c r="AK97" s="166"/>
      <c r="AL97" s="166"/>
      <c r="AM97" s="166"/>
      <c r="AN97" s="166"/>
      <c r="AO97" s="76">
        <f t="shared" si="2"/>
        <v>0</v>
      </c>
      <c r="AP97" s="422"/>
      <c r="AR97" s="409"/>
    </row>
    <row r="98" spans="2:44" s="83" customFormat="1" hidden="1">
      <c r="B98" s="79" t="s">
        <v>64</v>
      </c>
      <c r="C98" s="79"/>
      <c r="D98" s="80"/>
      <c r="E98" s="81"/>
      <c r="F98" s="81"/>
      <c r="G98" s="81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  <c r="AC98" s="75"/>
      <c r="AD98" s="75"/>
      <c r="AE98" s="75"/>
      <c r="AF98" s="75"/>
      <c r="AG98" s="166"/>
      <c r="AH98" s="166"/>
      <c r="AI98" s="166"/>
      <c r="AJ98" s="166"/>
      <c r="AK98" s="166"/>
      <c r="AL98" s="166"/>
      <c r="AM98" s="166"/>
      <c r="AN98" s="166"/>
      <c r="AO98" s="76">
        <f t="shared" si="2"/>
        <v>0</v>
      </c>
      <c r="AP98" s="422"/>
      <c r="AR98" s="409"/>
    </row>
    <row r="99" spans="2:44" s="83" customFormat="1" hidden="1">
      <c r="B99" s="79" t="s">
        <v>64</v>
      </c>
      <c r="C99" s="79"/>
      <c r="D99" s="80"/>
      <c r="E99" s="81"/>
      <c r="F99" s="81"/>
      <c r="G99" s="81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75"/>
      <c r="AD99" s="75"/>
      <c r="AE99" s="75"/>
      <c r="AF99" s="75"/>
      <c r="AG99" s="166"/>
      <c r="AH99" s="166"/>
      <c r="AI99" s="166"/>
      <c r="AJ99" s="166"/>
      <c r="AK99" s="166"/>
      <c r="AL99" s="166"/>
      <c r="AM99" s="166"/>
      <c r="AN99" s="166"/>
      <c r="AO99" s="76">
        <f t="shared" si="2"/>
        <v>0</v>
      </c>
      <c r="AP99" s="422"/>
    </row>
    <row r="100" spans="2:44" s="83" customFormat="1" ht="16.5" hidden="1" thickBot="1">
      <c r="B100" s="79" t="s">
        <v>64</v>
      </c>
      <c r="C100" s="79"/>
      <c r="D100" s="80"/>
      <c r="E100" s="81"/>
      <c r="F100" s="81"/>
      <c r="G100" s="81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75"/>
      <c r="AD100" s="166"/>
      <c r="AE100" s="75"/>
      <c r="AF100" s="75"/>
      <c r="AG100" s="166"/>
      <c r="AH100" s="166"/>
      <c r="AI100" s="166"/>
      <c r="AJ100" s="166"/>
      <c r="AK100" s="166"/>
      <c r="AL100" s="166"/>
      <c r="AM100" s="166"/>
      <c r="AN100" s="166"/>
      <c r="AO100" s="76">
        <f t="shared" si="2"/>
        <v>0</v>
      </c>
      <c r="AP100" s="423"/>
    </row>
    <row r="101" spans="2:44" s="83" customFormat="1" hidden="1">
      <c r="B101" s="79" t="s">
        <v>64</v>
      </c>
      <c r="C101" s="82"/>
      <c r="D101" s="80"/>
      <c r="E101" s="81"/>
      <c r="F101" s="81"/>
      <c r="G101" s="81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75"/>
      <c r="AD101" s="75"/>
      <c r="AE101" s="75"/>
      <c r="AF101" s="75"/>
      <c r="AG101" s="166"/>
      <c r="AH101" s="166"/>
      <c r="AI101" s="166"/>
      <c r="AJ101" s="166"/>
      <c r="AK101" s="166"/>
      <c r="AL101" s="166"/>
      <c r="AM101" s="166"/>
      <c r="AN101" s="166"/>
      <c r="AO101" s="76">
        <f t="shared" ref="AO101:AO132" si="3">SUM(I101:AN101)</f>
        <v>0</v>
      </c>
      <c r="AP101" s="191"/>
    </row>
    <row r="102" spans="2:44" s="83" customFormat="1" hidden="1">
      <c r="B102" s="79" t="s">
        <v>64</v>
      </c>
      <c r="C102" s="82"/>
      <c r="D102" s="80"/>
      <c r="E102" s="81"/>
      <c r="F102" s="81"/>
      <c r="G102" s="81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75"/>
      <c r="AD102" s="75"/>
      <c r="AE102" s="75"/>
      <c r="AF102" s="75"/>
      <c r="AG102" s="166"/>
      <c r="AH102" s="166"/>
      <c r="AI102" s="166"/>
      <c r="AJ102" s="166"/>
      <c r="AK102" s="166"/>
      <c r="AL102" s="166"/>
      <c r="AM102" s="166"/>
      <c r="AN102" s="166"/>
      <c r="AO102" s="76">
        <f t="shared" si="3"/>
        <v>0</v>
      </c>
      <c r="AP102" s="191"/>
    </row>
    <row r="103" spans="2:44" s="83" customFormat="1" hidden="1">
      <c r="B103" s="79" t="s">
        <v>64</v>
      </c>
      <c r="C103" s="82"/>
      <c r="D103" s="81"/>
      <c r="E103" s="81"/>
      <c r="F103" s="81"/>
      <c r="G103" s="81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75"/>
      <c r="AD103" s="75"/>
      <c r="AE103" s="75"/>
      <c r="AF103" s="75"/>
      <c r="AG103" s="166"/>
      <c r="AH103" s="166"/>
      <c r="AI103" s="166"/>
      <c r="AJ103" s="166"/>
      <c r="AK103" s="166"/>
      <c r="AL103" s="166"/>
      <c r="AM103" s="166"/>
      <c r="AN103" s="166"/>
      <c r="AO103" s="76">
        <f t="shared" si="3"/>
        <v>0</v>
      </c>
      <c r="AP103" s="191"/>
    </row>
    <row r="104" spans="2:44" s="83" customFormat="1" hidden="1">
      <c r="B104" s="79" t="s">
        <v>64</v>
      </c>
      <c r="C104" s="82"/>
      <c r="D104" s="81"/>
      <c r="E104" s="81"/>
      <c r="F104" s="81"/>
      <c r="G104" s="81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75"/>
      <c r="AD104" s="75"/>
      <c r="AE104" s="75"/>
      <c r="AF104" s="75"/>
      <c r="AG104" s="166"/>
      <c r="AH104" s="166"/>
      <c r="AI104" s="166"/>
      <c r="AJ104" s="166"/>
      <c r="AK104" s="166"/>
      <c r="AL104" s="166"/>
      <c r="AM104" s="166"/>
      <c r="AN104" s="166"/>
      <c r="AO104" s="76">
        <f t="shared" si="3"/>
        <v>0</v>
      </c>
      <c r="AP104" s="191"/>
    </row>
    <row r="105" spans="2:44" s="83" customFormat="1" hidden="1">
      <c r="B105" s="79" t="s">
        <v>64</v>
      </c>
      <c r="C105" s="82"/>
      <c r="D105" s="81"/>
      <c r="E105" s="81"/>
      <c r="F105" s="81"/>
      <c r="G105" s="81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  <c r="AC105" s="75"/>
      <c r="AD105" s="75"/>
      <c r="AE105" s="75"/>
      <c r="AF105" s="75"/>
      <c r="AG105" s="166"/>
      <c r="AH105" s="166"/>
      <c r="AI105" s="166"/>
      <c r="AJ105" s="166"/>
      <c r="AK105" s="166"/>
      <c r="AL105" s="166"/>
      <c r="AM105" s="166"/>
      <c r="AN105" s="166"/>
      <c r="AO105" s="76">
        <f t="shared" si="3"/>
        <v>0</v>
      </c>
      <c r="AP105" s="191"/>
    </row>
    <row r="106" spans="2:44" s="83" customFormat="1" hidden="1">
      <c r="B106" s="79" t="s">
        <v>64</v>
      </c>
      <c r="C106" s="82"/>
      <c r="D106" s="81"/>
      <c r="E106" s="81"/>
      <c r="F106" s="81"/>
      <c r="G106" s="81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  <c r="AC106" s="75"/>
      <c r="AD106" s="75"/>
      <c r="AE106" s="75"/>
      <c r="AF106" s="75"/>
      <c r="AG106" s="166"/>
      <c r="AH106" s="166"/>
      <c r="AI106" s="166"/>
      <c r="AJ106" s="166"/>
      <c r="AK106" s="166"/>
      <c r="AL106" s="166"/>
      <c r="AM106" s="166"/>
      <c r="AN106" s="166"/>
      <c r="AO106" s="76">
        <f t="shared" si="3"/>
        <v>0</v>
      </c>
      <c r="AP106" s="191"/>
    </row>
    <row r="107" spans="2:44" s="83" customFormat="1" hidden="1">
      <c r="B107" s="79" t="s">
        <v>64</v>
      </c>
      <c r="C107" s="82"/>
      <c r="D107" s="81"/>
      <c r="E107" s="81"/>
      <c r="F107" s="81"/>
      <c r="G107" s="81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  <c r="AC107" s="75"/>
      <c r="AD107" s="75"/>
      <c r="AE107" s="75"/>
      <c r="AF107" s="75"/>
      <c r="AG107" s="166"/>
      <c r="AH107" s="166"/>
      <c r="AI107" s="166"/>
      <c r="AJ107" s="166"/>
      <c r="AK107" s="166"/>
      <c r="AL107" s="166"/>
      <c r="AM107" s="166"/>
      <c r="AN107" s="166"/>
      <c r="AO107" s="76">
        <f t="shared" si="3"/>
        <v>0</v>
      </c>
      <c r="AP107" s="191"/>
    </row>
    <row r="108" spans="2:44" s="83" customFormat="1" hidden="1">
      <c r="B108" s="79" t="s">
        <v>64</v>
      </c>
      <c r="C108" s="82"/>
      <c r="D108" s="81"/>
      <c r="E108" s="81"/>
      <c r="F108" s="81"/>
      <c r="G108" s="81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  <c r="AC108" s="75"/>
      <c r="AD108" s="75"/>
      <c r="AE108" s="75"/>
      <c r="AF108" s="75"/>
      <c r="AG108" s="166"/>
      <c r="AH108" s="166"/>
      <c r="AI108" s="166"/>
      <c r="AJ108" s="166"/>
      <c r="AK108" s="166"/>
      <c r="AL108" s="166"/>
      <c r="AM108" s="166"/>
      <c r="AN108" s="166"/>
      <c r="AO108" s="76">
        <f t="shared" si="3"/>
        <v>0</v>
      </c>
      <c r="AP108" s="191"/>
      <c r="AR108" s="409"/>
    </row>
    <row r="109" spans="2:44" s="83" customFormat="1" hidden="1">
      <c r="B109" s="79" t="s">
        <v>64</v>
      </c>
      <c r="C109" s="82"/>
      <c r="D109" s="81"/>
      <c r="E109" s="81"/>
      <c r="F109" s="81"/>
      <c r="G109" s="81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  <c r="AC109" s="75"/>
      <c r="AD109" s="75"/>
      <c r="AE109" s="75"/>
      <c r="AF109" s="75"/>
      <c r="AG109" s="166"/>
      <c r="AH109" s="166"/>
      <c r="AI109" s="166"/>
      <c r="AJ109" s="166"/>
      <c r="AK109" s="166"/>
      <c r="AL109" s="166"/>
      <c r="AM109" s="166"/>
      <c r="AN109" s="166"/>
      <c r="AO109" s="76">
        <f t="shared" si="3"/>
        <v>0</v>
      </c>
      <c r="AP109" s="191"/>
      <c r="AR109" s="409"/>
    </row>
    <row r="110" spans="2:44" s="83" customFormat="1" hidden="1">
      <c r="B110" s="79" t="s">
        <v>64</v>
      </c>
      <c r="C110" s="82"/>
      <c r="D110" s="81"/>
      <c r="E110" s="81"/>
      <c r="F110" s="81"/>
      <c r="G110" s="81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  <c r="AC110" s="75"/>
      <c r="AD110" s="75"/>
      <c r="AE110" s="75"/>
      <c r="AF110" s="75"/>
      <c r="AG110" s="166"/>
      <c r="AH110" s="166"/>
      <c r="AI110" s="166"/>
      <c r="AJ110" s="166"/>
      <c r="AK110" s="166"/>
      <c r="AL110" s="166"/>
      <c r="AM110" s="166"/>
      <c r="AN110" s="166"/>
      <c r="AO110" s="76">
        <f t="shared" si="3"/>
        <v>0</v>
      </c>
      <c r="AP110" s="191"/>
      <c r="AR110" s="409"/>
    </row>
    <row r="111" spans="2:44" s="83" customFormat="1" hidden="1">
      <c r="B111" s="79" t="s">
        <v>64</v>
      </c>
      <c r="C111" s="82"/>
      <c r="D111" s="81"/>
      <c r="E111" s="81"/>
      <c r="F111" s="81"/>
      <c r="G111" s="81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  <c r="AC111" s="75"/>
      <c r="AD111" s="166"/>
      <c r="AE111" s="75"/>
      <c r="AF111" s="75"/>
      <c r="AG111" s="166"/>
      <c r="AH111" s="166"/>
      <c r="AI111" s="166"/>
      <c r="AJ111" s="166"/>
      <c r="AK111" s="166"/>
      <c r="AL111" s="166"/>
      <c r="AM111" s="166"/>
      <c r="AN111" s="166"/>
      <c r="AO111" s="76">
        <f t="shared" si="3"/>
        <v>0</v>
      </c>
      <c r="AP111" s="191"/>
      <c r="AR111" s="409"/>
    </row>
    <row r="112" spans="2:44" s="83" customFormat="1" ht="16.5" hidden="1" thickBot="1">
      <c r="B112" s="79" t="s">
        <v>64</v>
      </c>
      <c r="C112" s="82"/>
      <c r="D112" s="81"/>
      <c r="E112" s="81"/>
      <c r="F112" s="81"/>
      <c r="G112" s="81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  <c r="AC112" s="75"/>
      <c r="AD112" s="75"/>
      <c r="AE112" s="75"/>
      <c r="AF112" s="75"/>
      <c r="AG112" s="166"/>
      <c r="AH112" s="166"/>
      <c r="AI112" s="166"/>
      <c r="AJ112" s="166"/>
      <c r="AK112" s="166"/>
      <c r="AL112" s="166"/>
      <c r="AM112" s="166"/>
      <c r="AN112" s="166"/>
      <c r="AO112" s="76">
        <f t="shared" si="3"/>
        <v>0</v>
      </c>
      <c r="AP112" s="231"/>
      <c r="AR112" s="409"/>
    </row>
    <row r="113" spans="2:44" s="83" customFormat="1" hidden="1">
      <c r="B113" s="79" t="s">
        <v>64</v>
      </c>
      <c r="C113" s="82"/>
      <c r="D113" s="81"/>
      <c r="E113" s="81"/>
      <c r="F113" s="81"/>
      <c r="G113" s="81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  <c r="AC113" s="75"/>
      <c r="AD113" s="75"/>
      <c r="AE113" s="166"/>
      <c r="AF113" s="75"/>
      <c r="AG113" s="166"/>
      <c r="AH113" s="166"/>
      <c r="AI113" s="166"/>
      <c r="AJ113" s="166"/>
      <c r="AK113" s="166"/>
      <c r="AL113" s="166"/>
      <c r="AM113" s="166"/>
      <c r="AN113" s="166"/>
      <c r="AO113" s="76">
        <f>SUM(I113:AN113)</f>
        <v>0</v>
      </c>
      <c r="AP113" s="561"/>
      <c r="AR113" s="409"/>
    </row>
    <row r="114" spans="2:44" s="83" customFormat="1" hidden="1">
      <c r="B114" s="79" t="s">
        <v>64</v>
      </c>
      <c r="C114" s="82"/>
      <c r="D114" s="81"/>
      <c r="E114" s="81"/>
      <c r="F114" s="81"/>
      <c r="G114" s="81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75"/>
      <c r="AD114" s="75"/>
      <c r="AE114" s="75"/>
      <c r="AF114" s="75"/>
      <c r="AG114" s="166"/>
      <c r="AH114" s="166"/>
      <c r="AI114" s="166"/>
      <c r="AJ114" s="166"/>
      <c r="AK114" s="166"/>
      <c r="AL114" s="166"/>
      <c r="AM114" s="166"/>
      <c r="AN114" s="166"/>
      <c r="AO114" s="76">
        <f t="shared" si="3"/>
        <v>0</v>
      </c>
      <c r="AP114" s="562"/>
      <c r="AR114" s="409"/>
    </row>
    <row r="115" spans="2:44" s="83" customFormat="1" hidden="1">
      <c r="B115" s="79" t="s">
        <v>64</v>
      </c>
      <c r="C115" s="82"/>
      <c r="D115" s="81"/>
      <c r="E115" s="81"/>
      <c r="F115" s="81"/>
      <c r="G115" s="81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  <c r="AC115" s="75"/>
      <c r="AD115" s="75"/>
      <c r="AE115" s="75"/>
      <c r="AF115" s="75"/>
      <c r="AG115" s="166"/>
      <c r="AH115" s="166"/>
      <c r="AI115" s="166"/>
      <c r="AJ115" s="166"/>
      <c r="AK115" s="166"/>
      <c r="AL115" s="166"/>
      <c r="AM115" s="166"/>
      <c r="AN115" s="166"/>
      <c r="AO115" s="76">
        <f t="shared" si="3"/>
        <v>0</v>
      </c>
      <c r="AP115" s="562"/>
      <c r="AR115" s="409"/>
    </row>
    <row r="116" spans="2:44" s="83" customFormat="1" hidden="1">
      <c r="B116" s="79" t="s">
        <v>64</v>
      </c>
      <c r="C116" s="82"/>
      <c r="D116" s="81"/>
      <c r="E116" s="81"/>
      <c r="F116" s="81"/>
      <c r="G116" s="81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75"/>
      <c r="AD116" s="75"/>
      <c r="AE116" s="75"/>
      <c r="AF116" s="75"/>
      <c r="AG116" s="166"/>
      <c r="AH116" s="166"/>
      <c r="AI116" s="166"/>
      <c r="AJ116" s="166"/>
      <c r="AK116" s="166"/>
      <c r="AL116" s="166"/>
      <c r="AM116" s="166"/>
      <c r="AN116" s="166"/>
      <c r="AO116" s="76">
        <f t="shared" si="3"/>
        <v>0</v>
      </c>
      <c r="AP116" s="562"/>
      <c r="AR116" s="409"/>
    </row>
    <row r="117" spans="2:44" s="83" customFormat="1" hidden="1">
      <c r="B117" s="79" t="s">
        <v>64</v>
      </c>
      <c r="C117" s="82"/>
      <c r="D117" s="81"/>
      <c r="E117" s="81"/>
      <c r="F117" s="81"/>
      <c r="G117" s="81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75"/>
      <c r="AD117" s="75"/>
      <c r="AE117" s="75"/>
      <c r="AF117" s="75"/>
      <c r="AG117" s="166"/>
      <c r="AH117" s="166"/>
      <c r="AI117" s="166"/>
      <c r="AJ117" s="166"/>
      <c r="AK117" s="166"/>
      <c r="AL117" s="166"/>
      <c r="AM117" s="166"/>
      <c r="AN117" s="166"/>
      <c r="AO117" s="76">
        <f t="shared" si="3"/>
        <v>0</v>
      </c>
      <c r="AP117" s="562"/>
      <c r="AR117" s="409"/>
    </row>
    <row r="118" spans="2:44" s="83" customFormat="1" hidden="1">
      <c r="B118" s="79" t="s">
        <v>64</v>
      </c>
      <c r="C118" s="82"/>
      <c r="D118" s="81"/>
      <c r="E118" s="81"/>
      <c r="F118" s="81"/>
      <c r="G118" s="81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  <c r="AC118" s="75"/>
      <c r="AD118" s="75"/>
      <c r="AE118" s="75"/>
      <c r="AF118" s="75"/>
      <c r="AG118" s="166"/>
      <c r="AH118" s="166"/>
      <c r="AI118" s="166"/>
      <c r="AJ118" s="166"/>
      <c r="AK118" s="166"/>
      <c r="AL118" s="166"/>
      <c r="AM118" s="166"/>
      <c r="AN118" s="166"/>
      <c r="AO118" s="76">
        <f t="shared" si="3"/>
        <v>0</v>
      </c>
      <c r="AP118" s="562"/>
      <c r="AR118" s="409"/>
    </row>
    <row r="119" spans="2:44" s="83" customFormat="1" hidden="1">
      <c r="B119" s="79" t="s">
        <v>64</v>
      </c>
      <c r="C119" s="82"/>
      <c r="D119" s="81"/>
      <c r="E119" s="81"/>
      <c r="F119" s="81"/>
      <c r="G119" s="81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  <c r="AC119" s="75"/>
      <c r="AD119" s="75"/>
      <c r="AE119" s="75"/>
      <c r="AF119" s="75"/>
      <c r="AG119" s="166"/>
      <c r="AH119" s="166"/>
      <c r="AI119" s="166"/>
      <c r="AJ119" s="166"/>
      <c r="AK119" s="166"/>
      <c r="AL119" s="166"/>
      <c r="AM119" s="166"/>
      <c r="AN119" s="166"/>
      <c r="AO119" s="76">
        <f t="shared" si="3"/>
        <v>0</v>
      </c>
      <c r="AP119" s="562"/>
    </row>
    <row r="120" spans="2:44" s="83" customFormat="1" hidden="1">
      <c r="B120" s="79" t="s">
        <v>64</v>
      </c>
      <c r="C120" s="82"/>
      <c r="D120" s="81"/>
      <c r="E120" s="81"/>
      <c r="F120" s="81"/>
      <c r="G120" s="81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  <c r="AC120" s="75"/>
      <c r="AD120" s="75"/>
      <c r="AE120" s="75"/>
      <c r="AF120" s="75"/>
      <c r="AG120" s="166"/>
      <c r="AH120" s="166"/>
      <c r="AI120" s="166"/>
      <c r="AJ120" s="166"/>
      <c r="AK120" s="166"/>
      <c r="AL120" s="166"/>
      <c r="AM120" s="166"/>
      <c r="AN120" s="166"/>
      <c r="AO120" s="76">
        <f t="shared" si="3"/>
        <v>0</v>
      </c>
      <c r="AP120" s="562"/>
    </row>
    <row r="121" spans="2:44" s="83" customFormat="1" hidden="1">
      <c r="B121" s="79" t="s">
        <v>64</v>
      </c>
      <c r="C121" s="82"/>
      <c r="D121" s="81"/>
      <c r="E121" s="81"/>
      <c r="F121" s="81"/>
      <c r="G121" s="81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  <c r="AC121" s="75"/>
      <c r="AD121" s="75"/>
      <c r="AE121" s="166"/>
      <c r="AF121" s="75"/>
      <c r="AG121" s="166"/>
      <c r="AH121" s="166"/>
      <c r="AI121" s="166"/>
      <c r="AJ121" s="166"/>
      <c r="AK121" s="166"/>
      <c r="AL121" s="166"/>
      <c r="AM121" s="166"/>
      <c r="AN121" s="166"/>
      <c r="AO121" s="76">
        <f t="shared" si="3"/>
        <v>0</v>
      </c>
      <c r="AP121" s="562"/>
    </row>
    <row r="122" spans="2:44" s="83" customFormat="1" hidden="1">
      <c r="B122" s="79" t="s">
        <v>64</v>
      </c>
      <c r="C122" s="82"/>
      <c r="D122" s="81"/>
      <c r="E122" s="81"/>
      <c r="F122" s="81"/>
      <c r="G122" s="81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  <c r="AC122" s="75"/>
      <c r="AD122" s="75"/>
      <c r="AE122" s="75"/>
      <c r="AF122" s="75"/>
      <c r="AG122" s="166"/>
      <c r="AH122" s="166"/>
      <c r="AI122" s="166"/>
      <c r="AJ122" s="166"/>
      <c r="AK122" s="166"/>
      <c r="AL122" s="166"/>
      <c r="AM122" s="166"/>
      <c r="AN122" s="166"/>
      <c r="AO122" s="76">
        <f t="shared" si="3"/>
        <v>0</v>
      </c>
      <c r="AP122" s="562"/>
    </row>
    <row r="123" spans="2:44" s="83" customFormat="1" hidden="1">
      <c r="B123" s="79" t="s">
        <v>64</v>
      </c>
      <c r="C123" s="82"/>
      <c r="D123" s="81"/>
      <c r="E123" s="81"/>
      <c r="F123" s="81"/>
      <c r="G123" s="81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75"/>
      <c r="AD123" s="75"/>
      <c r="AE123" s="75"/>
      <c r="AF123" s="75"/>
      <c r="AG123" s="166"/>
      <c r="AH123" s="166"/>
      <c r="AI123" s="166"/>
      <c r="AJ123" s="166"/>
      <c r="AK123" s="166"/>
      <c r="AL123" s="166"/>
      <c r="AM123" s="166"/>
      <c r="AN123" s="166"/>
      <c r="AO123" s="76">
        <f t="shared" si="3"/>
        <v>0</v>
      </c>
      <c r="AP123" s="562"/>
    </row>
    <row r="124" spans="2:44" s="83" customFormat="1" hidden="1">
      <c r="B124" s="79" t="s">
        <v>64</v>
      </c>
      <c r="C124" s="82"/>
      <c r="D124" s="81"/>
      <c r="E124" s="81"/>
      <c r="F124" s="81"/>
      <c r="G124" s="81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75"/>
      <c r="AD124" s="75"/>
      <c r="AE124" s="75"/>
      <c r="AF124" s="75"/>
      <c r="AG124" s="166"/>
      <c r="AH124" s="166"/>
      <c r="AI124" s="166"/>
      <c r="AJ124" s="166"/>
      <c r="AK124" s="166"/>
      <c r="AL124" s="166"/>
      <c r="AM124" s="166"/>
      <c r="AN124" s="166"/>
      <c r="AO124" s="76">
        <f t="shared" si="3"/>
        <v>0</v>
      </c>
      <c r="AP124" s="562"/>
    </row>
    <row r="125" spans="2:44" s="83" customFormat="1" hidden="1">
      <c r="B125" s="79" t="s">
        <v>64</v>
      </c>
      <c r="C125" s="82"/>
      <c r="D125" s="81"/>
      <c r="E125" s="81"/>
      <c r="F125" s="81"/>
      <c r="G125" s="81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75"/>
      <c r="AD125" s="75"/>
      <c r="AE125" s="75"/>
      <c r="AF125" s="75"/>
      <c r="AG125" s="166"/>
      <c r="AH125" s="166"/>
      <c r="AI125" s="166"/>
      <c r="AJ125" s="166"/>
      <c r="AK125" s="166"/>
      <c r="AL125" s="166"/>
      <c r="AM125" s="166"/>
      <c r="AN125" s="166"/>
      <c r="AO125" s="76">
        <f t="shared" si="3"/>
        <v>0</v>
      </c>
      <c r="AP125" s="562"/>
    </row>
    <row r="126" spans="2:44" s="83" customFormat="1" ht="16.5" hidden="1" thickBot="1">
      <c r="B126" s="79" t="s">
        <v>64</v>
      </c>
      <c r="C126" s="82"/>
      <c r="D126" s="81"/>
      <c r="E126" s="81"/>
      <c r="F126" s="81"/>
      <c r="G126" s="81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75"/>
      <c r="AD126" s="75"/>
      <c r="AE126" s="75"/>
      <c r="AF126" s="75"/>
      <c r="AG126" s="166"/>
      <c r="AH126" s="166"/>
      <c r="AI126" s="166"/>
      <c r="AJ126" s="166"/>
      <c r="AK126" s="166"/>
      <c r="AL126" s="166"/>
      <c r="AM126" s="166"/>
      <c r="AN126" s="166"/>
      <c r="AO126" s="76">
        <f t="shared" si="3"/>
        <v>0</v>
      </c>
      <c r="AP126" s="563"/>
    </row>
    <row r="127" spans="2:44" s="83" customFormat="1" hidden="1">
      <c r="B127" s="79" t="s">
        <v>64</v>
      </c>
      <c r="C127" s="82"/>
      <c r="D127" s="81"/>
      <c r="E127" s="81"/>
      <c r="F127" s="81"/>
      <c r="G127" s="81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  <c r="AC127" s="75"/>
      <c r="AD127" s="75"/>
      <c r="AE127" s="75"/>
      <c r="AF127" s="75"/>
      <c r="AG127" s="166"/>
      <c r="AH127" s="166"/>
      <c r="AI127" s="166"/>
      <c r="AJ127" s="166"/>
      <c r="AK127" s="166"/>
      <c r="AL127" s="166"/>
      <c r="AM127" s="166"/>
      <c r="AN127" s="166"/>
      <c r="AO127" s="76">
        <f t="shared" si="3"/>
        <v>0</v>
      </c>
      <c r="AP127" s="191"/>
    </row>
    <row r="128" spans="2:44" s="83" customFormat="1" hidden="1">
      <c r="B128" s="79" t="s">
        <v>64</v>
      </c>
      <c r="C128" s="82"/>
      <c r="D128" s="81"/>
      <c r="E128" s="81"/>
      <c r="F128" s="81"/>
      <c r="G128" s="81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75"/>
      <c r="AD128" s="75"/>
      <c r="AE128" s="75"/>
      <c r="AF128" s="75"/>
      <c r="AG128" s="166"/>
      <c r="AH128" s="166"/>
      <c r="AI128" s="166"/>
      <c r="AJ128" s="166"/>
      <c r="AK128" s="166"/>
      <c r="AL128" s="166"/>
      <c r="AM128" s="166"/>
      <c r="AN128" s="166"/>
      <c r="AO128" s="76">
        <f t="shared" si="3"/>
        <v>0</v>
      </c>
      <c r="AP128" s="191"/>
    </row>
    <row r="129" spans="2:44" s="83" customFormat="1" hidden="1">
      <c r="B129" s="79" t="s">
        <v>64</v>
      </c>
      <c r="C129" s="82"/>
      <c r="D129" s="81"/>
      <c r="E129" s="81"/>
      <c r="F129" s="81"/>
      <c r="G129" s="81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  <c r="AC129" s="75"/>
      <c r="AD129" s="75"/>
      <c r="AE129" s="75"/>
      <c r="AF129" s="75"/>
      <c r="AG129" s="166"/>
      <c r="AH129" s="166"/>
      <c r="AI129" s="166"/>
      <c r="AJ129" s="166"/>
      <c r="AK129" s="166"/>
      <c r="AL129" s="166"/>
      <c r="AM129" s="166"/>
      <c r="AN129" s="166"/>
      <c r="AO129" s="76">
        <f t="shared" si="3"/>
        <v>0</v>
      </c>
      <c r="AP129" s="191"/>
    </row>
    <row r="130" spans="2:44" s="83" customFormat="1" hidden="1">
      <c r="B130" s="79" t="s">
        <v>64</v>
      </c>
      <c r="C130" s="82"/>
      <c r="D130" s="81"/>
      <c r="E130" s="81"/>
      <c r="F130" s="81"/>
      <c r="G130" s="81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75"/>
      <c r="AD130" s="75"/>
      <c r="AE130" s="75"/>
      <c r="AF130" s="75"/>
      <c r="AG130" s="166"/>
      <c r="AH130" s="166"/>
      <c r="AI130" s="166"/>
      <c r="AJ130" s="166"/>
      <c r="AK130" s="166"/>
      <c r="AL130" s="166"/>
      <c r="AM130" s="166"/>
      <c r="AN130" s="166"/>
      <c r="AO130" s="76">
        <f t="shared" si="3"/>
        <v>0</v>
      </c>
      <c r="AP130" s="191"/>
      <c r="AR130" s="409"/>
    </row>
    <row r="131" spans="2:44" s="83" customFormat="1" hidden="1">
      <c r="B131" s="79" t="s">
        <v>64</v>
      </c>
      <c r="C131" s="82"/>
      <c r="D131" s="81"/>
      <c r="E131" s="81"/>
      <c r="F131" s="81"/>
      <c r="G131" s="81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75"/>
      <c r="AD131" s="75"/>
      <c r="AE131" s="75"/>
      <c r="AF131" s="75"/>
      <c r="AG131" s="166"/>
      <c r="AH131" s="166"/>
      <c r="AI131" s="166"/>
      <c r="AJ131" s="166"/>
      <c r="AK131" s="166"/>
      <c r="AL131" s="166"/>
      <c r="AM131" s="166"/>
      <c r="AN131" s="166"/>
      <c r="AO131" s="76">
        <f t="shared" si="3"/>
        <v>0</v>
      </c>
      <c r="AP131" s="191"/>
      <c r="AR131" s="409"/>
    </row>
    <row r="132" spans="2:44" s="83" customFormat="1" hidden="1">
      <c r="B132" s="79" t="s">
        <v>64</v>
      </c>
      <c r="C132" s="82"/>
      <c r="D132" s="81"/>
      <c r="E132" s="81"/>
      <c r="F132" s="81"/>
      <c r="G132" s="81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75"/>
      <c r="AD132" s="75"/>
      <c r="AE132" s="75"/>
      <c r="AF132" s="75"/>
      <c r="AG132" s="166"/>
      <c r="AH132" s="166"/>
      <c r="AI132" s="166"/>
      <c r="AJ132" s="166"/>
      <c r="AK132" s="166"/>
      <c r="AL132" s="166"/>
      <c r="AM132" s="166"/>
      <c r="AN132" s="166"/>
      <c r="AO132" s="76">
        <f t="shared" si="3"/>
        <v>0</v>
      </c>
      <c r="AP132" s="191"/>
      <c r="AR132" s="409"/>
    </row>
    <row r="133" spans="2:44" s="83" customFormat="1" hidden="1">
      <c r="B133" s="79" t="s">
        <v>64</v>
      </c>
      <c r="C133" s="82"/>
      <c r="D133" s="81"/>
      <c r="E133" s="81"/>
      <c r="F133" s="81"/>
      <c r="G133" s="81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75"/>
      <c r="AD133" s="75"/>
      <c r="AE133" s="75"/>
      <c r="AF133" s="75"/>
      <c r="AG133" s="166"/>
      <c r="AH133" s="166"/>
      <c r="AI133" s="166"/>
      <c r="AJ133" s="166"/>
      <c r="AK133" s="166"/>
      <c r="AL133" s="166"/>
      <c r="AM133" s="166"/>
      <c r="AN133" s="166"/>
      <c r="AO133" s="76">
        <f t="shared" ref="AO133:AO146" si="4">SUM(I133:AN133)</f>
        <v>0</v>
      </c>
      <c r="AP133" s="191"/>
      <c r="AR133" s="409"/>
    </row>
    <row r="134" spans="2:44" s="83" customFormat="1" ht="16.5" hidden="1" thickBot="1">
      <c r="B134" s="79" t="s">
        <v>64</v>
      </c>
      <c r="C134" s="82"/>
      <c r="D134" s="81"/>
      <c r="E134" s="81"/>
      <c r="F134" s="81"/>
      <c r="G134" s="81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75"/>
      <c r="AD134" s="75"/>
      <c r="AE134" s="75"/>
      <c r="AF134" s="75"/>
      <c r="AG134" s="166"/>
      <c r="AH134" s="166"/>
      <c r="AI134" s="166"/>
      <c r="AJ134" s="166"/>
      <c r="AK134" s="166"/>
      <c r="AL134" s="166"/>
      <c r="AM134" s="166"/>
      <c r="AN134" s="166"/>
      <c r="AO134" s="76">
        <f t="shared" si="4"/>
        <v>0</v>
      </c>
      <c r="AP134" s="231"/>
      <c r="AR134" s="409"/>
    </row>
    <row r="135" spans="2:44" s="83" customFormat="1" hidden="1">
      <c r="B135" s="79" t="s">
        <v>64</v>
      </c>
      <c r="C135" s="82"/>
      <c r="D135" s="81"/>
      <c r="E135" s="81"/>
      <c r="F135" s="81"/>
      <c r="G135" s="81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75"/>
      <c r="AD135" s="75"/>
      <c r="AE135" s="75"/>
      <c r="AF135" s="75"/>
      <c r="AG135" s="166"/>
      <c r="AH135" s="166"/>
      <c r="AI135" s="166"/>
      <c r="AJ135" s="166"/>
      <c r="AK135" s="166"/>
      <c r="AL135" s="166"/>
      <c r="AM135" s="166"/>
      <c r="AN135" s="166"/>
      <c r="AO135" s="76">
        <f t="shared" si="4"/>
        <v>0</v>
      </c>
      <c r="AP135" s="591">
        <f>SUM(AO135:AO165)</f>
        <v>0</v>
      </c>
      <c r="AR135" s="409"/>
    </row>
    <row r="136" spans="2:44" s="83" customFormat="1" hidden="1">
      <c r="B136" s="79" t="s">
        <v>64</v>
      </c>
      <c r="C136" s="82"/>
      <c r="D136" s="81"/>
      <c r="E136" s="81"/>
      <c r="F136" s="81"/>
      <c r="G136" s="81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75"/>
      <c r="AD136" s="75"/>
      <c r="AE136" s="75"/>
      <c r="AF136" s="75"/>
      <c r="AG136" s="166"/>
      <c r="AH136" s="166"/>
      <c r="AI136" s="358"/>
      <c r="AJ136" s="166"/>
      <c r="AK136" s="166"/>
      <c r="AL136" s="166"/>
      <c r="AM136" s="166"/>
      <c r="AN136" s="166"/>
      <c r="AO136" s="76">
        <f t="shared" si="4"/>
        <v>0</v>
      </c>
      <c r="AP136" s="592"/>
      <c r="AR136" s="409"/>
    </row>
    <row r="137" spans="2:44" s="83" customFormat="1" hidden="1">
      <c r="B137" s="79" t="s">
        <v>64</v>
      </c>
      <c r="C137" s="82"/>
      <c r="D137" s="81"/>
      <c r="E137" s="81"/>
      <c r="F137" s="81"/>
      <c r="G137" s="81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75"/>
      <c r="AD137" s="75"/>
      <c r="AE137" s="75"/>
      <c r="AF137" s="75"/>
      <c r="AG137" s="166"/>
      <c r="AH137" s="166"/>
      <c r="AI137" s="166"/>
      <c r="AJ137" s="166"/>
      <c r="AK137" s="166"/>
      <c r="AL137" s="166"/>
      <c r="AM137" s="166"/>
      <c r="AN137" s="166"/>
      <c r="AO137" s="76">
        <f t="shared" si="4"/>
        <v>0</v>
      </c>
      <c r="AP137" s="592"/>
      <c r="AR137" s="409"/>
    </row>
    <row r="138" spans="2:44" s="83" customFormat="1" hidden="1">
      <c r="B138" s="79" t="s">
        <v>64</v>
      </c>
      <c r="C138" s="82"/>
      <c r="D138" s="81"/>
      <c r="E138" s="81"/>
      <c r="F138" s="81"/>
      <c r="G138" s="81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75"/>
      <c r="AD138" s="75"/>
      <c r="AE138" s="75"/>
      <c r="AF138" s="75"/>
      <c r="AG138" s="166"/>
      <c r="AH138" s="166"/>
      <c r="AI138" s="166"/>
      <c r="AJ138" s="166"/>
      <c r="AK138" s="166"/>
      <c r="AL138" s="166"/>
      <c r="AM138" s="166"/>
      <c r="AN138" s="166"/>
      <c r="AO138" s="76">
        <f t="shared" si="4"/>
        <v>0</v>
      </c>
      <c r="AP138" s="592"/>
      <c r="AR138" s="409"/>
    </row>
    <row r="139" spans="2:44" s="83" customFormat="1" hidden="1">
      <c r="B139" s="79" t="s">
        <v>64</v>
      </c>
      <c r="C139" s="82"/>
      <c r="D139" s="81"/>
      <c r="E139" s="81"/>
      <c r="F139" s="81"/>
      <c r="G139" s="81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75"/>
      <c r="AD139" s="75"/>
      <c r="AE139" s="75"/>
      <c r="AF139" s="75"/>
      <c r="AG139" s="166"/>
      <c r="AH139" s="166"/>
      <c r="AI139" s="166"/>
      <c r="AJ139" s="166"/>
      <c r="AK139" s="166"/>
      <c r="AL139" s="166"/>
      <c r="AM139" s="166"/>
      <c r="AN139" s="166"/>
      <c r="AO139" s="76">
        <f t="shared" si="4"/>
        <v>0</v>
      </c>
      <c r="AP139" s="592"/>
      <c r="AR139" s="409"/>
    </row>
    <row r="140" spans="2:44" s="83" customFormat="1" hidden="1">
      <c r="B140" s="79" t="s">
        <v>64</v>
      </c>
      <c r="C140" s="82"/>
      <c r="D140" s="81"/>
      <c r="E140" s="81"/>
      <c r="F140" s="81"/>
      <c r="G140" s="81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75"/>
      <c r="AD140" s="75"/>
      <c r="AE140" s="75"/>
      <c r="AF140" s="75"/>
      <c r="AG140" s="166"/>
      <c r="AH140" s="166"/>
      <c r="AI140" s="166"/>
      <c r="AJ140" s="166"/>
      <c r="AK140" s="166"/>
      <c r="AL140" s="166"/>
      <c r="AM140" s="166"/>
      <c r="AN140" s="166"/>
      <c r="AO140" s="76">
        <f t="shared" si="4"/>
        <v>0</v>
      </c>
      <c r="AP140" s="592"/>
      <c r="AR140" s="409"/>
    </row>
    <row r="141" spans="2:44" s="83" customFormat="1" hidden="1">
      <c r="B141" s="79" t="s">
        <v>64</v>
      </c>
      <c r="C141" s="82"/>
      <c r="D141" s="81"/>
      <c r="E141" s="81"/>
      <c r="F141" s="81"/>
      <c r="G141" s="81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75"/>
      <c r="AD141" s="75"/>
      <c r="AE141" s="75"/>
      <c r="AF141" s="75"/>
      <c r="AG141" s="166"/>
      <c r="AH141" s="166"/>
      <c r="AI141" s="166"/>
      <c r="AJ141" s="166"/>
      <c r="AK141" s="166"/>
      <c r="AL141" s="166"/>
      <c r="AM141" s="166"/>
      <c r="AN141" s="166"/>
      <c r="AO141" s="76">
        <f t="shared" si="4"/>
        <v>0</v>
      </c>
      <c r="AP141" s="592"/>
      <c r="AR141" s="409"/>
    </row>
    <row r="142" spans="2:44" s="83" customFormat="1" hidden="1">
      <c r="B142" s="79" t="s">
        <v>64</v>
      </c>
      <c r="C142" s="82"/>
      <c r="D142" s="81"/>
      <c r="E142" s="81"/>
      <c r="F142" s="81"/>
      <c r="G142" s="81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75"/>
      <c r="AD142" s="75"/>
      <c r="AE142" s="75"/>
      <c r="AF142" s="75"/>
      <c r="AG142" s="166"/>
      <c r="AH142" s="166"/>
      <c r="AI142" s="166"/>
      <c r="AJ142" s="166"/>
      <c r="AK142" s="166"/>
      <c r="AL142" s="166"/>
      <c r="AM142" s="166"/>
      <c r="AN142" s="166"/>
      <c r="AO142" s="76">
        <f t="shared" si="4"/>
        <v>0</v>
      </c>
      <c r="AP142" s="592"/>
      <c r="AR142" s="409"/>
    </row>
    <row r="143" spans="2:44" s="83" customFormat="1" hidden="1">
      <c r="B143" s="79" t="s">
        <v>64</v>
      </c>
      <c r="C143" s="82"/>
      <c r="D143" s="81"/>
      <c r="E143" s="81"/>
      <c r="F143" s="81"/>
      <c r="G143" s="81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75"/>
      <c r="AD143" s="75"/>
      <c r="AE143" s="75"/>
      <c r="AF143" s="75"/>
      <c r="AG143" s="166"/>
      <c r="AH143" s="166"/>
      <c r="AI143" s="166"/>
      <c r="AJ143" s="166"/>
      <c r="AK143" s="166"/>
      <c r="AL143" s="166"/>
      <c r="AM143" s="166"/>
      <c r="AN143" s="166"/>
      <c r="AO143" s="76">
        <f t="shared" si="4"/>
        <v>0</v>
      </c>
      <c r="AP143" s="592"/>
      <c r="AR143" s="409"/>
    </row>
    <row r="144" spans="2:44" s="83" customFormat="1" hidden="1">
      <c r="B144" s="79" t="s">
        <v>64</v>
      </c>
      <c r="C144" s="82"/>
      <c r="D144" s="81"/>
      <c r="E144" s="81"/>
      <c r="F144" s="81"/>
      <c r="G144" s="81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75"/>
      <c r="AD144" s="75"/>
      <c r="AE144" s="75"/>
      <c r="AF144" s="75"/>
      <c r="AG144" s="166"/>
      <c r="AH144" s="166"/>
      <c r="AI144" s="166"/>
      <c r="AJ144" s="166"/>
      <c r="AK144" s="166"/>
      <c r="AL144" s="166"/>
      <c r="AM144" s="166"/>
      <c r="AN144" s="166"/>
      <c r="AO144" s="76">
        <f t="shared" si="4"/>
        <v>0</v>
      </c>
      <c r="AP144" s="592"/>
      <c r="AR144" s="409"/>
    </row>
    <row r="145" spans="2:48" s="83" customFormat="1" hidden="1">
      <c r="B145" s="79" t="s">
        <v>64</v>
      </c>
      <c r="C145" s="82"/>
      <c r="D145" s="81"/>
      <c r="E145" s="81"/>
      <c r="F145" s="81"/>
      <c r="G145" s="81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75"/>
      <c r="AD145" s="75"/>
      <c r="AE145" s="75"/>
      <c r="AF145" s="75"/>
      <c r="AG145" s="166"/>
      <c r="AH145" s="166"/>
      <c r="AI145" s="166"/>
      <c r="AJ145" s="166"/>
      <c r="AK145" s="166"/>
      <c r="AL145" s="166"/>
      <c r="AM145" s="166"/>
      <c r="AN145" s="166"/>
      <c r="AO145" s="76">
        <f t="shared" si="4"/>
        <v>0</v>
      </c>
      <c r="AP145" s="592"/>
      <c r="AR145" s="409"/>
    </row>
    <row r="146" spans="2:48" s="83" customFormat="1" hidden="1">
      <c r="B146" s="79" t="s">
        <v>64</v>
      </c>
      <c r="C146" s="82"/>
      <c r="D146" s="81"/>
      <c r="E146" s="81"/>
      <c r="F146" s="81"/>
      <c r="G146" s="81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75"/>
      <c r="AD146" s="75"/>
      <c r="AE146" s="75"/>
      <c r="AF146" s="75"/>
      <c r="AG146" s="166"/>
      <c r="AH146" s="166"/>
      <c r="AI146" s="166"/>
      <c r="AJ146" s="166"/>
      <c r="AK146" s="166"/>
      <c r="AL146" s="166"/>
      <c r="AM146" s="166"/>
      <c r="AN146" s="166"/>
      <c r="AO146" s="76">
        <f t="shared" si="4"/>
        <v>0</v>
      </c>
      <c r="AP146" s="592"/>
      <c r="AR146" s="409"/>
    </row>
    <row r="147" spans="2:48" s="83" customFormat="1" hidden="1">
      <c r="B147" s="79" t="s">
        <v>64</v>
      </c>
      <c r="C147" s="82"/>
      <c r="D147" s="81"/>
      <c r="E147" s="81"/>
      <c r="F147" s="81"/>
      <c r="G147" s="81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75"/>
      <c r="AD147" s="75"/>
      <c r="AE147" s="75"/>
      <c r="AF147" s="75"/>
      <c r="AG147" s="166"/>
      <c r="AH147" s="166"/>
      <c r="AI147" s="166"/>
      <c r="AJ147" s="166"/>
      <c r="AK147" s="166"/>
      <c r="AL147" s="166"/>
      <c r="AM147" s="166"/>
      <c r="AN147" s="166"/>
      <c r="AO147" s="76">
        <f t="shared" ref="AO147:AO152" si="5">SUM(I147:AN147)</f>
        <v>0</v>
      </c>
      <c r="AP147" s="592"/>
    </row>
    <row r="148" spans="2:48" s="83" customFormat="1" hidden="1">
      <c r="B148" s="79" t="s">
        <v>64</v>
      </c>
      <c r="C148" s="82"/>
      <c r="D148" s="81"/>
      <c r="E148" s="81"/>
      <c r="F148" s="81"/>
      <c r="G148" s="81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  <c r="AC148" s="75"/>
      <c r="AD148" s="75"/>
      <c r="AE148" s="75"/>
      <c r="AF148" s="75"/>
      <c r="AG148" s="166"/>
      <c r="AH148" s="166"/>
      <c r="AI148" s="166"/>
      <c r="AJ148" s="166"/>
      <c r="AK148" s="166"/>
      <c r="AL148" s="166"/>
      <c r="AM148" s="166"/>
      <c r="AN148" s="166"/>
      <c r="AO148" s="76">
        <f t="shared" si="5"/>
        <v>0</v>
      </c>
      <c r="AP148" s="592"/>
    </row>
    <row r="149" spans="2:48" s="83" customFormat="1" hidden="1">
      <c r="B149" s="79" t="s">
        <v>64</v>
      </c>
      <c r="C149" s="82"/>
      <c r="D149" s="81"/>
      <c r="E149" s="81"/>
      <c r="F149" s="81"/>
      <c r="G149" s="81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  <c r="AC149" s="75"/>
      <c r="AD149" s="75"/>
      <c r="AE149" s="75"/>
      <c r="AF149" s="75"/>
      <c r="AG149" s="166"/>
      <c r="AH149" s="166"/>
      <c r="AI149" s="166"/>
      <c r="AJ149" s="166"/>
      <c r="AK149" s="166"/>
      <c r="AL149" s="166"/>
      <c r="AM149" s="166"/>
      <c r="AN149" s="166"/>
      <c r="AO149" s="76">
        <f t="shared" si="5"/>
        <v>0</v>
      </c>
      <c r="AP149" s="592"/>
    </row>
    <row r="150" spans="2:48" s="83" customFormat="1" hidden="1">
      <c r="B150" s="79" t="s">
        <v>64</v>
      </c>
      <c r="C150" s="82"/>
      <c r="D150" s="81"/>
      <c r="E150" s="81"/>
      <c r="F150" s="81"/>
      <c r="G150" s="81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75"/>
      <c r="AD150" s="75"/>
      <c r="AE150" s="75"/>
      <c r="AF150" s="75"/>
      <c r="AG150" s="166"/>
      <c r="AH150" s="166"/>
      <c r="AI150" s="166"/>
      <c r="AJ150" s="166"/>
      <c r="AK150" s="166"/>
      <c r="AL150" s="166"/>
      <c r="AM150" s="166"/>
      <c r="AN150" s="166"/>
      <c r="AO150" s="76">
        <f t="shared" si="5"/>
        <v>0</v>
      </c>
      <c r="AP150" s="592"/>
    </row>
    <row r="151" spans="2:48" s="83" customFormat="1" hidden="1">
      <c r="B151" s="79" t="s">
        <v>64</v>
      </c>
      <c r="C151" s="82"/>
      <c r="D151" s="81"/>
      <c r="E151" s="81"/>
      <c r="F151" s="81"/>
      <c r="G151" s="81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75"/>
      <c r="AD151" s="75"/>
      <c r="AE151" s="75"/>
      <c r="AF151" s="75"/>
      <c r="AG151" s="166"/>
      <c r="AH151" s="166"/>
      <c r="AI151" s="166"/>
      <c r="AJ151" s="166"/>
      <c r="AK151" s="166"/>
      <c r="AL151" s="166"/>
      <c r="AM151" s="166"/>
      <c r="AN151" s="166"/>
      <c r="AO151" s="76">
        <f t="shared" si="5"/>
        <v>0</v>
      </c>
      <c r="AP151" s="592"/>
    </row>
    <row r="152" spans="2:48" s="83" customFormat="1" hidden="1">
      <c r="B152" s="79" t="s">
        <v>64</v>
      </c>
      <c r="C152" s="82"/>
      <c r="D152" s="81"/>
      <c r="E152" s="81"/>
      <c r="F152" s="81"/>
      <c r="G152" s="81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75"/>
      <c r="AD152" s="75"/>
      <c r="AE152" s="75"/>
      <c r="AF152" s="75"/>
      <c r="AG152" s="166"/>
      <c r="AH152" s="166"/>
      <c r="AI152" s="166"/>
      <c r="AJ152" s="166"/>
      <c r="AK152" s="166"/>
      <c r="AL152" s="166"/>
      <c r="AM152" s="166"/>
      <c r="AN152" s="166"/>
      <c r="AO152" s="76">
        <f t="shared" si="5"/>
        <v>0</v>
      </c>
      <c r="AP152" s="592"/>
    </row>
    <row r="153" spans="2:48" s="83" customFormat="1" hidden="1">
      <c r="B153" s="79" t="s">
        <v>64</v>
      </c>
      <c r="C153" s="82"/>
      <c r="D153" s="81"/>
      <c r="E153" s="81"/>
      <c r="F153" s="81"/>
      <c r="G153" s="81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  <c r="AC153" s="75"/>
      <c r="AD153" s="75"/>
      <c r="AE153" s="75"/>
      <c r="AF153" s="75"/>
      <c r="AG153" s="166"/>
      <c r="AH153" s="166"/>
      <c r="AI153" s="166"/>
      <c r="AJ153" s="166"/>
      <c r="AK153" s="166"/>
      <c r="AL153" s="166"/>
      <c r="AM153" s="166"/>
      <c r="AN153" s="166"/>
      <c r="AO153" s="76">
        <f t="shared" ref="AO153:AO159" si="6">SUM(I153:AN153)</f>
        <v>0</v>
      </c>
      <c r="AP153" s="592"/>
    </row>
    <row r="154" spans="2:48" s="83" customFormat="1" hidden="1">
      <c r="B154" s="79" t="s">
        <v>64</v>
      </c>
      <c r="C154" s="82"/>
      <c r="D154" s="81"/>
      <c r="E154" s="81"/>
      <c r="F154" s="81"/>
      <c r="G154" s="81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75"/>
      <c r="AD154" s="75"/>
      <c r="AE154" s="75"/>
      <c r="AF154" s="75"/>
      <c r="AG154" s="166"/>
      <c r="AH154" s="166"/>
      <c r="AI154" s="166"/>
      <c r="AJ154" s="166"/>
      <c r="AK154" s="166"/>
      <c r="AL154" s="166"/>
      <c r="AM154" s="166"/>
      <c r="AN154" s="166"/>
      <c r="AO154" s="76">
        <f t="shared" si="6"/>
        <v>0</v>
      </c>
      <c r="AP154" s="592"/>
    </row>
    <row r="155" spans="2:48" s="83" customFormat="1" hidden="1">
      <c r="B155" s="79" t="s">
        <v>64</v>
      </c>
      <c r="C155" s="82"/>
      <c r="D155" s="81"/>
      <c r="E155" s="81"/>
      <c r="F155" s="81"/>
      <c r="G155" s="81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  <c r="AC155" s="75"/>
      <c r="AD155" s="75"/>
      <c r="AE155" s="75"/>
      <c r="AF155" s="75"/>
      <c r="AG155" s="166"/>
      <c r="AH155" s="166"/>
      <c r="AI155" s="166"/>
      <c r="AJ155" s="166"/>
      <c r="AK155" s="166"/>
      <c r="AL155" s="166"/>
      <c r="AM155" s="166"/>
      <c r="AN155" s="166"/>
      <c r="AO155" s="76">
        <f t="shared" si="6"/>
        <v>0</v>
      </c>
      <c r="AP155" s="592"/>
    </row>
    <row r="156" spans="2:48" s="83" customFormat="1" hidden="1">
      <c r="B156" s="79" t="s">
        <v>64</v>
      </c>
      <c r="C156" s="82"/>
      <c r="D156" s="81"/>
      <c r="E156" s="81"/>
      <c r="F156" s="81"/>
      <c r="G156" s="81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75"/>
      <c r="AD156" s="75"/>
      <c r="AE156" s="75"/>
      <c r="AF156" s="75"/>
      <c r="AG156" s="166"/>
      <c r="AH156" s="166"/>
      <c r="AI156" s="166"/>
      <c r="AJ156" s="166"/>
      <c r="AK156" s="166"/>
      <c r="AL156" s="166"/>
      <c r="AM156" s="166"/>
      <c r="AN156" s="166"/>
      <c r="AO156" s="76">
        <f t="shared" si="6"/>
        <v>0</v>
      </c>
      <c r="AP156" s="592"/>
    </row>
    <row r="157" spans="2:48" s="83" customFormat="1" hidden="1">
      <c r="B157" s="79" t="s">
        <v>64</v>
      </c>
      <c r="C157" s="82"/>
      <c r="D157" s="81"/>
      <c r="E157" s="81"/>
      <c r="F157" s="81"/>
      <c r="G157" s="81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75"/>
      <c r="AD157" s="75"/>
      <c r="AE157" s="75"/>
      <c r="AF157" s="75"/>
      <c r="AG157" s="166"/>
      <c r="AH157" s="166"/>
      <c r="AI157" s="166"/>
      <c r="AJ157" s="166"/>
      <c r="AK157" s="166"/>
      <c r="AL157" s="166"/>
      <c r="AM157" s="166"/>
      <c r="AN157" s="166"/>
      <c r="AO157" s="76">
        <f t="shared" si="6"/>
        <v>0</v>
      </c>
      <c r="AP157" s="592"/>
    </row>
    <row r="158" spans="2:48" s="83" customFormat="1" hidden="1">
      <c r="B158" s="79" t="s">
        <v>64</v>
      </c>
      <c r="C158" s="82"/>
      <c r="D158" s="81"/>
      <c r="E158" s="81"/>
      <c r="F158" s="81"/>
      <c r="G158" s="81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  <c r="AC158" s="75"/>
      <c r="AD158" s="75"/>
      <c r="AE158" s="75"/>
      <c r="AF158" s="75"/>
      <c r="AG158" s="166"/>
      <c r="AH158" s="166"/>
      <c r="AI158" s="166"/>
      <c r="AJ158" s="166"/>
      <c r="AK158" s="166"/>
      <c r="AL158" s="166"/>
      <c r="AM158" s="166"/>
      <c r="AN158" s="166"/>
      <c r="AO158" s="76">
        <f t="shared" si="6"/>
        <v>0</v>
      </c>
      <c r="AP158" s="592"/>
    </row>
    <row r="159" spans="2:48" s="83" customFormat="1" hidden="1">
      <c r="B159" s="79" t="s">
        <v>64</v>
      </c>
      <c r="C159" s="82"/>
      <c r="D159" s="81"/>
      <c r="E159" s="81"/>
      <c r="F159" s="81"/>
      <c r="G159" s="81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  <c r="AC159" s="75"/>
      <c r="AD159" s="75"/>
      <c r="AE159" s="75"/>
      <c r="AF159" s="75"/>
      <c r="AG159" s="166"/>
      <c r="AH159" s="166"/>
      <c r="AI159" s="166"/>
      <c r="AJ159" s="166"/>
      <c r="AK159" s="166"/>
      <c r="AL159" s="166"/>
      <c r="AM159" s="166"/>
      <c r="AN159" s="166"/>
      <c r="AO159" s="76">
        <f t="shared" si="6"/>
        <v>0</v>
      </c>
      <c r="AP159" s="592"/>
      <c r="AV159" s="83" t="s">
        <v>95</v>
      </c>
    </row>
    <row r="160" spans="2:48" s="83" customFormat="1" hidden="1">
      <c r="B160" s="79" t="s">
        <v>64</v>
      </c>
      <c r="C160" s="82"/>
      <c r="D160" s="81"/>
      <c r="E160" s="81"/>
      <c r="F160" s="81"/>
      <c r="G160" s="81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  <c r="AC160" s="75"/>
      <c r="AD160" s="75"/>
      <c r="AE160" s="75"/>
      <c r="AF160" s="75"/>
      <c r="AG160" s="166"/>
      <c r="AH160" s="166"/>
      <c r="AI160" s="166"/>
      <c r="AJ160" s="166"/>
      <c r="AK160" s="166"/>
      <c r="AL160" s="166"/>
      <c r="AM160" s="166"/>
      <c r="AN160" s="166"/>
      <c r="AO160" s="76">
        <f t="shared" ref="AO160:AO168" si="7">SUM(I160:AN160)</f>
        <v>0</v>
      </c>
      <c r="AP160" s="592"/>
    </row>
    <row r="161" spans="2:42" s="83" customFormat="1" hidden="1">
      <c r="B161" s="79" t="s">
        <v>64</v>
      </c>
      <c r="C161" s="82"/>
      <c r="D161" s="81"/>
      <c r="E161" s="81"/>
      <c r="F161" s="81"/>
      <c r="G161" s="81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  <c r="AC161" s="75"/>
      <c r="AD161" s="75"/>
      <c r="AE161" s="75"/>
      <c r="AF161" s="75"/>
      <c r="AG161" s="166"/>
      <c r="AH161" s="166"/>
      <c r="AI161" s="166"/>
      <c r="AJ161" s="166"/>
      <c r="AK161" s="166"/>
      <c r="AL161" s="166"/>
      <c r="AM161" s="166"/>
      <c r="AN161" s="166"/>
      <c r="AO161" s="76">
        <f>SUM(I161:AN161)</f>
        <v>0</v>
      </c>
      <c r="AP161" s="592"/>
    </row>
    <row r="162" spans="2:42" s="83" customFormat="1" hidden="1">
      <c r="B162" s="79" t="s">
        <v>64</v>
      </c>
      <c r="C162" s="82"/>
      <c r="D162" s="81"/>
      <c r="E162" s="81"/>
      <c r="F162" s="81"/>
      <c r="G162" s="81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75"/>
      <c r="AD162" s="75"/>
      <c r="AE162" s="75"/>
      <c r="AF162" s="75"/>
      <c r="AG162" s="166"/>
      <c r="AH162" s="166"/>
      <c r="AI162" s="166"/>
      <c r="AJ162" s="166"/>
      <c r="AK162" s="166"/>
      <c r="AL162" s="166"/>
      <c r="AM162" s="166"/>
      <c r="AN162" s="166"/>
      <c r="AO162" s="76">
        <f>SUM(I162:AN162)</f>
        <v>0</v>
      </c>
      <c r="AP162" s="592"/>
    </row>
    <row r="163" spans="2:42" s="83" customFormat="1" hidden="1">
      <c r="B163" s="79" t="s">
        <v>64</v>
      </c>
      <c r="C163" s="82"/>
      <c r="D163" s="81"/>
      <c r="E163" s="81"/>
      <c r="F163" s="81"/>
      <c r="G163" s="81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75"/>
      <c r="AD163" s="75"/>
      <c r="AE163" s="75"/>
      <c r="AF163" s="75"/>
      <c r="AG163" s="166"/>
      <c r="AH163" s="166"/>
      <c r="AI163" s="166"/>
      <c r="AJ163" s="166"/>
      <c r="AK163" s="166"/>
      <c r="AL163" s="166"/>
      <c r="AM163" s="166"/>
      <c r="AN163" s="166"/>
      <c r="AO163" s="76">
        <f>SUM(I163:AN163)</f>
        <v>0</v>
      </c>
      <c r="AP163" s="592"/>
    </row>
    <row r="164" spans="2:42" s="83" customFormat="1" hidden="1">
      <c r="B164" s="79" t="s">
        <v>64</v>
      </c>
      <c r="C164" s="82"/>
      <c r="D164" s="81"/>
      <c r="E164" s="81"/>
      <c r="F164" s="81"/>
      <c r="G164" s="81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75"/>
      <c r="AD164" s="75"/>
      <c r="AE164" s="75"/>
      <c r="AF164" s="75"/>
      <c r="AG164" s="166"/>
      <c r="AH164" s="166"/>
      <c r="AI164" s="166"/>
      <c r="AJ164" s="166"/>
      <c r="AK164" s="166"/>
      <c r="AL164" s="166"/>
      <c r="AM164" s="166"/>
      <c r="AN164" s="166"/>
      <c r="AO164" s="76">
        <f>SUM(I164:AN164)</f>
        <v>0</v>
      </c>
      <c r="AP164" s="592"/>
    </row>
    <row r="165" spans="2:42" s="83" customFormat="1" hidden="1">
      <c r="B165" s="79" t="s">
        <v>64</v>
      </c>
      <c r="C165" s="82"/>
      <c r="D165" s="81"/>
      <c r="E165" s="81"/>
      <c r="F165" s="81"/>
      <c r="G165" s="81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  <c r="AC165" s="75"/>
      <c r="AD165" s="75"/>
      <c r="AE165" s="75"/>
      <c r="AF165" s="75"/>
      <c r="AG165" s="166"/>
      <c r="AH165" s="166"/>
      <c r="AI165" s="166"/>
      <c r="AJ165" s="166"/>
      <c r="AK165" s="166"/>
      <c r="AL165" s="166"/>
      <c r="AM165" s="166"/>
      <c r="AN165" s="166"/>
      <c r="AO165" s="76">
        <f>SUM(I165:AN165)</f>
        <v>0</v>
      </c>
      <c r="AP165" s="592"/>
    </row>
    <row r="166" spans="2:42" s="83" customFormat="1" hidden="1">
      <c r="B166" s="79" t="s">
        <v>64</v>
      </c>
      <c r="C166" s="82"/>
      <c r="D166" s="81"/>
      <c r="E166" s="81"/>
      <c r="F166" s="81"/>
      <c r="G166" s="81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  <c r="AC166" s="75"/>
      <c r="AD166" s="75"/>
      <c r="AE166" s="75"/>
      <c r="AF166" s="75"/>
      <c r="AG166" s="166"/>
      <c r="AH166" s="166"/>
      <c r="AI166" s="166"/>
      <c r="AJ166" s="166"/>
      <c r="AK166" s="166"/>
      <c r="AL166" s="166"/>
      <c r="AM166" s="166"/>
      <c r="AN166" s="166"/>
      <c r="AO166" s="76">
        <f t="shared" si="7"/>
        <v>0</v>
      </c>
      <c r="AP166" s="191"/>
    </row>
    <row r="167" spans="2:42" s="83" customFormat="1" hidden="1">
      <c r="B167" s="79" t="s">
        <v>64</v>
      </c>
      <c r="C167" s="82"/>
      <c r="D167" s="81"/>
      <c r="E167" s="81"/>
      <c r="F167" s="81"/>
      <c r="G167" s="81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  <c r="AC167" s="75"/>
      <c r="AD167" s="75"/>
      <c r="AE167" s="75"/>
      <c r="AF167" s="75"/>
      <c r="AG167" s="75"/>
      <c r="AH167" s="75"/>
      <c r="AI167" s="75"/>
      <c r="AJ167" s="75"/>
      <c r="AK167" s="75"/>
      <c r="AL167" s="166"/>
      <c r="AM167" s="166"/>
      <c r="AN167" s="166"/>
      <c r="AO167" s="76">
        <f t="shared" si="7"/>
        <v>0</v>
      </c>
      <c r="AP167" s="191"/>
    </row>
    <row r="168" spans="2:42" s="83" customFormat="1" hidden="1">
      <c r="B168" s="79" t="s">
        <v>64</v>
      </c>
      <c r="C168" s="82"/>
      <c r="D168" s="81"/>
      <c r="E168" s="81"/>
      <c r="F168" s="81"/>
      <c r="G168" s="81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  <c r="AC168" s="75"/>
      <c r="AD168" s="75"/>
      <c r="AE168" s="75"/>
      <c r="AF168" s="75"/>
      <c r="AG168" s="75"/>
      <c r="AH168" s="75"/>
      <c r="AI168" s="75"/>
      <c r="AJ168" s="75"/>
      <c r="AK168" s="75"/>
      <c r="AL168" s="166"/>
      <c r="AM168" s="166"/>
      <c r="AN168" s="166"/>
      <c r="AO168" s="76">
        <f t="shared" si="7"/>
        <v>0</v>
      </c>
      <c r="AP168" s="191"/>
    </row>
    <row r="169" spans="2:42" s="83" customFormat="1" hidden="1">
      <c r="B169" s="79" t="s">
        <v>64</v>
      </c>
      <c r="C169" s="82"/>
      <c r="D169" s="81"/>
      <c r="E169" s="81"/>
      <c r="F169" s="81"/>
      <c r="G169" s="81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75"/>
      <c r="AD169" s="75"/>
      <c r="AE169" s="75"/>
      <c r="AF169" s="75"/>
      <c r="AG169" s="75"/>
      <c r="AH169" s="75"/>
      <c r="AI169" s="75"/>
      <c r="AJ169" s="75"/>
      <c r="AK169" s="75"/>
      <c r="AL169" s="166"/>
      <c r="AM169" s="166"/>
      <c r="AN169" s="166"/>
      <c r="AO169" s="76">
        <f t="shared" ref="AO169:AO174" si="8">SUM(I169:AN169)</f>
        <v>0</v>
      </c>
      <c r="AP169" s="191"/>
    </row>
    <row r="170" spans="2:42" s="83" customFormat="1" hidden="1">
      <c r="B170" s="79" t="s">
        <v>64</v>
      </c>
      <c r="C170" s="82"/>
      <c r="D170" s="81"/>
      <c r="E170" s="81"/>
      <c r="F170" s="81"/>
      <c r="G170" s="81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  <c r="AC170" s="75"/>
      <c r="AD170" s="75"/>
      <c r="AE170" s="75"/>
      <c r="AF170" s="75"/>
      <c r="AG170" s="75"/>
      <c r="AH170" s="75"/>
      <c r="AI170" s="75"/>
      <c r="AJ170" s="75"/>
      <c r="AK170" s="75"/>
      <c r="AL170" s="166"/>
      <c r="AM170" s="166"/>
      <c r="AN170" s="166"/>
      <c r="AO170" s="76">
        <f t="shared" si="8"/>
        <v>0</v>
      </c>
      <c r="AP170" s="191"/>
    </row>
    <row r="171" spans="2:42" s="83" customFormat="1" hidden="1">
      <c r="B171" s="79" t="s">
        <v>64</v>
      </c>
      <c r="C171" s="82"/>
      <c r="D171" s="81"/>
      <c r="E171" s="81"/>
      <c r="F171" s="81"/>
      <c r="G171" s="81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  <c r="AC171" s="75"/>
      <c r="AD171" s="75"/>
      <c r="AE171" s="75"/>
      <c r="AF171" s="75"/>
      <c r="AG171" s="75"/>
      <c r="AH171" s="75"/>
      <c r="AI171" s="75"/>
      <c r="AJ171" s="75"/>
      <c r="AK171" s="75"/>
      <c r="AL171" s="166"/>
      <c r="AM171" s="166"/>
      <c r="AN171" s="166"/>
      <c r="AO171" s="76">
        <f t="shared" si="8"/>
        <v>0</v>
      </c>
      <c r="AP171" s="191"/>
    </row>
    <row r="172" spans="2:42" s="83" customFormat="1" hidden="1">
      <c r="B172" s="79" t="s">
        <v>64</v>
      </c>
      <c r="C172" s="82"/>
      <c r="D172" s="81"/>
      <c r="E172" s="81"/>
      <c r="F172" s="81"/>
      <c r="G172" s="81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  <c r="AC172" s="75"/>
      <c r="AD172" s="75"/>
      <c r="AE172" s="75"/>
      <c r="AF172" s="75"/>
      <c r="AG172" s="75"/>
      <c r="AH172" s="75"/>
      <c r="AI172" s="75"/>
      <c r="AJ172" s="75"/>
      <c r="AK172" s="75"/>
      <c r="AL172" s="166"/>
      <c r="AM172" s="166"/>
      <c r="AN172" s="166"/>
      <c r="AO172" s="76">
        <f t="shared" si="8"/>
        <v>0</v>
      </c>
      <c r="AP172" s="191"/>
    </row>
    <row r="173" spans="2:42" s="83" customFormat="1" hidden="1">
      <c r="B173" s="79" t="s">
        <v>64</v>
      </c>
      <c r="C173" s="82"/>
      <c r="D173" s="81"/>
      <c r="E173" s="81"/>
      <c r="F173" s="81"/>
      <c r="G173" s="81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75"/>
      <c r="AD173" s="75"/>
      <c r="AE173" s="75"/>
      <c r="AF173" s="75"/>
      <c r="AG173" s="75"/>
      <c r="AH173" s="75"/>
      <c r="AI173" s="75"/>
      <c r="AJ173" s="75"/>
      <c r="AK173" s="75"/>
      <c r="AL173" s="166"/>
      <c r="AM173" s="166"/>
      <c r="AN173" s="166"/>
      <c r="AO173" s="76">
        <f t="shared" si="8"/>
        <v>0</v>
      </c>
      <c r="AP173" s="191"/>
    </row>
    <row r="174" spans="2:42" s="83" customFormat="1" hidden="1">
      <c r="B174" s="79" t="s">
        <v>64</v>
      </c>
      <c r="C174" s="82"/>
      <c r="D174" s="81"/>
      <c r="E174" s="81"/>
      <c r="F174" s="81"/>
      <c r="G174" s="81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75"/>
      <c r="AD174" s="75"/>
      <c r="AE174" s="75"/>
      <c r="AF174" s="75"/>
      <c r="AG174" s="75"/>
      <c r="AH174" s="75"/>
      <c r="AI174" s="75"/>
      <c r="AJ174" s="75"/>
      <c r="AK174" s="75"/>
      <c r="AL174" s="166"/>
      <c r="AM174" s="166"/>
      <c r="AN174" s="166"/>
      <c r="AO174" s="76">
        <f t="shared" si="8"/>
        <v>0</v>
      </c>
      <c r="AP174" s="191"/>
    </row>
    <row r="175" spans="2:42" s="83" customFormat="1" hidden="1">
      <c r="B175" s="79" t="s">
        <v>64</v>
      </c>
      <c r="C175" s="82"/>
      <c r="D175" s="81"/>
      <c r="E175" s="81"/>
      <c r="F175" s="81"/>
      <c r="G175" s="81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  <c r="AC175" s="75"/>
      <c r="AD175" s="75"/>
      <c r="AE175" s="75"/>
      <c r="AF175" s="75"/>
      <c r="AG175" s="75"/>
      <c r="AH175" s="75"/>
      <c r="AI175" s="75"/>
      <c r="AJ175" s="75"/>
      <c r="AK175" s="75"/>
      <c r="AL175" s="166"/>
      <c r="AM175" s="166"/>
      <c r="AN175" s="166"/>
      <c r="AO175" s="76">
        <f t="shared" ref="AO175:AO187" si="9">SUM(I175:AN175)</f>
        <v>0</v>
      </c>
      <c r="AP175" s="191"/>
    </row>
    <row r="176" spans="2:42" s="83" customFormat="1" hidden="1">
      <c r="B176" s="79" t="s">
        <v>64</v>
      </c>
      <c r="C176" s="82"/>
      <c r="D176" s="81"/>
      <c r="E176" s="81"/>
      <c r="F176" s="81"/>
      <c r="G176" s="81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75"/>
      <c r="AD176" s="75"/>
      <c r="AE176" s="75"/>
      <c r="AF176" s="75"/>
      <c r="AG176" s="75"/>
      <c r="AH176" s="75"/>
      <c r="AI176" s="75"/>
      <c r="AJ176" s="75"/>
      <c r="AK176" s="75"/>
      <c r="AL176" s="166"/>
      <c r="AM176" s="166"/>
      <c r="AN176" s="166"/>
      <c r="AO176" s="76">
        <f t="shared" si="9"/>
        <v>0</v>
      </c>
      <c r="AP176" s="191"/>
    </row>
    <row r="177" spans="2:42" s="83" customFormat="1" hidden="1">
      <c r="B177" s="79" t="s">
        <v>64</v>
      </c>
      <c r="C177" s="82"/>
      <c r="D177" s="81"/>
      <c r="E177" s="81"/>
      <c r="F177" s="81"/>
      <c r="G177" s="81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  <c r="AC177" s="75"/>
      <c r="AD177" s="75"/>
      <c r="AE177" s="75"/>
      <c r="AF177" s="75"/>
      <c r="AG177" s="75"/>
      <c r="AH177" s="75"/>
      <c r="AI177" s="75"/>
      <c r="AJ177" s="75"/>
      <c r="AK177" s="75"/>
      <c r="AL177" s="166"/>
      <c r="AM177" s="166"/>
      <c r="AN177" s="166"/>
      <c r="AO177" s="76">
        <f t="shared" si="9"/>
        <v>0</v>
      </c>
      <c r="AP177" s="191"/>
    </row>
    <row r="178" spans="2:42" s="83" customFormat="1" hidden="1">
      <c r="B178" s="79" t="s">
        <v>64</v>
      </c>
      <c r="C178" s="82"/>
      <c r="D178" s="81"/>
      <c r="E178" s="81"/>
      <c r="F178" s="81"/>
      <c r="G178" s="81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  <c r="AC178" s="75"/>
      <c r="AD178" s="75"/>
      <c r="AE178" s="75"/>
      <c r="AF178" s="75"/>
      <c r="AG178" s="75"/>
      <c r="AH178" s="75"/>
      <c r="AI178" s="75"/>
      <c r="AJ178" s="75"/>
      <c r="AK178" s="75"/>
      <c r="AL178" s="166"/>
      <c r="AM178" s="166"/>
      <c r="AN178" s="166"/>
      <c r="AO178" s="76">
        <f t="shared" si="9"/>
        <v>0</v>
      </c>
      <c r="AP178" s="191"/>
    </row>
    <row r="179" spans="2:42" s="83" customFormat="1" hidden="1">
      <c r="B179" s="79" t="s">
        <v>64</v>
      </c>
      <c r="C179" s="82"/>
      <c r="D179" s="81"/>
      <c r="E179" s="81"/>
      <c r="F179" s="81"/>
      <c r="G179" s="81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  <c r="AC179" s="75"/>
      <c r="AD179" s="75"/>
      <c r="AE179" s="75"/>
      <c r="AF179" s="75"/>
      <c r="AG179" s="75"/>
      <c r="AH179" s="75"/>
      <c r="AI179" s="75"/>
      <c r="AJ179" s="75"/>
      <c r="AK179" s="75"/>
      <c r="AL179" s="166"/>
      <c r="AM179" s="166"/>
      <c r="AN179" s="166"/>
      <c r="AO179" s="76">
        <f t="shared" si="9"/>
        <v>0</v>
      </c>
      <c r="AP179" s="191"/>
    </row>
    <row r="180" spans="2:42" s="83" customFormat="1" hidden="1">
      <c r="B180" s="79" t="s">
        <v>64</v>
      </c>
      <c r="C180" s="82"/>
      <c r="D180" s="81"/>
      <c r="E180" s="81"/>
      <c r="F180" s="81"/>
      <c r="G180" s="81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  <c r="AC180" s="75"/>
      <c r="AD180" s="75"/>
      <c r="AE180" s="75"/>
      <c r="AF180" s="75"/>
      <c r="AG180" s="75"/>
      <c r="AH180" s="75"/>
      <c r="AI180" s="75"/>
      <c r="AJ180" s="75"/>
      <c r="AK180" s="75"/>
      <c r="AL180" s="166"/>
      <c r="AM180" s="166"/>
      <c r="AN180" s="166"/>
      <c r="AO180" s="76">
        <f t="shared" si="9"/>
        <v>0</v>
      </c>
      <c r="AP180" s="191"/>
    </row>
    <row r="181" spans="2:42" s="83" customFormat="1" ht="16.5" hidden="1" thickBot="1">
      <c r="B181" s="79" t="s">
        <v>64</v>
      </c>
      <c r="C181" s="82"/>
      <c r="D181" s="81"/>
      <c r="E181" s="81"/>
      <c r="F181" s="81"/>
      <c r="G181" s="81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  <c r="AC181" s="75"/>
      <c r="AD181" s="75"/>
      <c r="AE181" s="75"/>
      <c r="AF181" s="75"/>
      <c r="AG181" s="75"/>
      <c r="AH181" s="75"/>
      <c r="AI181" s="75"/>
      <c r="AJ181" s="75"/>
      <c r="AK181" s="75"/>
      <c r="AL181" s="166"/>
      <c r="AM181" s="166"/>
      <c r="AN181" s="166"/>
      <c r="AO181" s="76">
        <f t="shared" si="9"/>
        <v>0</v>
      </c>
      <c r="AP181" s="231"/>
    </row>
    <row r="182" spans="2:42" s="83" customFormat="1" hidden="1">
      <c r="B182" s="79" t="s">
        <v>64</v>
      </c>
      <c r="C182" s="82"/>
      <c r="D182" s="81"/>
      <c r="E182" s="81"/>
      <c r="F182" s="81"/>
      <c r="G182" s="81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  <c r="AC182" s="75"/>
      <c r="AD182" s="75"/>
      <c r="AE182" s="75"/>
      <c r="AF182" s="75"/>
      <c r="AG182" s="75"/>
      <c r="AH182" s="75"/>
      <c r="AI182" s="75"/>
      <c r="AJ182" s="75"/>
      <c r="AK182" s="75"/>
      <c r="AL182" s="166"/>
      <c r="AM182" s="166"/>
      <c r="AN182" s="166"/>
      <c r="AO182" s="76">
        <f t="shared" si="9"/>
        <v>0</v>
      </c>
      <c r="AP182" s="561">
        <f>SUM(AO182:AO222)</f>
        <v>0</v>
      </c>
    </row>
    <row r="183" spans="2:42" s="83" customFormat="1" hidden="1">
      <c r="B183" s="79" t="s">
        <v>64</v>
      </c>
      <c r="C183" s="82"/>
      <c r="D183" s="81"/>
      <c r="E183" s="81"/>
      <c r="F183" s="81"/>
      <c r="G183" s="81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  <c r="AC183" s="75"/>
      <c r="AD183" s="75"/>
      <c r="AE183" s="75"/>
      <c r="AF183" s="75"/>
      <c r="AG183" s="75"/>
      <c r="AH183" s="75"/>
      <c r="AI183" s="75"/>
      <c r="AJ183" s="75"/>
      <c r="AK183" s="75"/>
      <c r="AL183" s="166"/>
      <c r="AM183" s="166"/>
      <c r="AN183" s="166"/>
      <c r="AO183" s="76">
        <f t="shared" si="9"/>
        <v>0</v>
      </c>
      <c r="AP183" s="562"/>
    </row>
    <row r="184" spans="2:42" s="83" customFormat="1" hidden="1">
      <c r="B184" s="79" t="s">
        <v>64</v>
      </c>
      <c r="C184" s="82"/>
      <c r="D184" s="81"/>
      <c r="E184" s="81"/>
      <c r="F184" s="81"/>
      <c r="G184" s="81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  <c r="AC184" s="75"/>
      <c r="AD184" s="75"/>
      <c r="AE184" s="75"/>
      <c r="AF184" s="75"/>
      <c r="AG184" s="75"/>
      <c r="AH184" s="75"/>
      <c r="AI184" s="75"/>
      <c r="AJ184" s="75"/>
      <c r="AK184" s="75"/>
      <c r="AL184" s="166"/>
      <c r="AM184" s="166"/>
      <c r="AN184" s="166"/>
      <c r="AO184" s="76">
        <f t="shared" si="9"/>
        <v>0</v>
      </c>
      <c r="AP184" s="562"/>
    </row>
    <row r="185" spans="2:42" s="83" customFormat="1" hidden="1">
      <c r="B185" s="79" t="s">
        <v>64</v>
      </c>
      <c r="C185" s="82"/>
      <c r="D185" s="81"/>
      <c r="E185" s="81"/>
      <c r="F185" s="81"/>
      <c r="G185" s="81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  <c r="AC185" s="75"/>
      <c r="AD185" s="75"/>
      <c r="AE185" s="75"/>
      <c r="AF185" s="75"/>
      <c r="AG185" s="75"/>
      <c r="AH185" s="75"/>
      <c r="AI185" s="75"/>
      <c r="AJ185" s="75"/>
      <c r="AK185" s="75"/>
      <c r="AL185" s="166"/>
      <c r="AM185" s="166"/>
      <c r="AN185" s="166"/>
      <c r="AO185" s="76">
        <f t="shared" si="9"/>
        <v>0</v>
      </c>
      <c r="AP185" s="562"/>
    </row>
    <row r="186" spans="2:42" s="83" customFormat="1" hidden="1">
      <c r="B186" s="79" t="s">
        <v>64</v>
      </c>
      <c r="C186" s="82"/>
      <c r="D186" s="81"/>
      <c r="E186" s="81"/>
      <c r="F186" s="81"/>
      <c r="G186" s="81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75"/>
      <c r="AD186" s="75"/>
      <c r="AE186" s="75"/>
      <c r="AF186" s="75"/>
      <c r="AG186" s="75"/>
      <c r="AH186" s="75"/>
      <c r="AI186" s="75"/>
      <c r="AJ186" s="75"/>
      <c r="AK186" s="75"/>
      <c r="AL186" s="166"/>
      <c r="AM186" s="166"/>
      <c r="AN186" s="166"/>
      <c r="AO186" s="76">
        <f t="shared" si="9"/>
        <v>0</v>
      </c>
      <c r="AP186" s="562"/>
    </row>
    <row r="187" spans="2:42" s="83" customFormat="1" hidden="1">
      <c r="B187" s="79" t="s">
        <v>64</v>
      </c>
      <c r="C187" s="82"/>
      <c r="D187" s="81"/>
      <c r="E187" s="81"/>
      <c r="F187" s="81"/>
      <c r="G187" s="81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  <c r="AC187" s="75"/>
      <c r="AD187" s="75"/>
      <c r="AE187" s="75"/>
      <c r="AF187" s="75"/>
      <c r="AG187" s="75"/>
      <c r="AH187" s="75"/>
      <c r="AI187" s="75"/>
      <c r="AJ187" s="75"/>
      <c r="AK187" s="75"/>
      <c r="AL187" s="166"/>
      <c r="AM187" s="166"/>
      <c r="AN187" s="166"/>
      <c r="AO187" s="76">
        <f t="shared" si="9"/>
        <v>0</v>
      </c>
      <c r="AP187" s="562"/>
    </row>
    <row r="188" spans="2:42" s="83" customFormat="1" hidden="1">
      <c r="B188" s="79" t="s">
        <v>64</v>
      </c>
      <c r="C188" s="82"/>
      <c r="D188" s="81"/>
      <c r="E188" s="81"/>
      <c r="F188" s="81"/>
      <c r="G188" s="81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  <c r="AC188" s="75"/>
      <c r="AD188" s="75"/>
      <c r="AE188" s="75"/>
      <c r="AF188" s="75"/>
      <c r="AG188" s="75"/>
      <c r="AH188" s="75"/>
      <c r="AI188" s="75"/>
      <c r="AJ188" s="75"/>
      <c r="AK188" s="75"/>
      <c r="AL188" s="166"/>
      <c r="AM188" s="166"/>
      <c r="AN188" s="166"/>
      <c r="AO188" s="76">
        <f t="shared" ref="AO188:AO199" si="10">SUM(I188:AN188)</f>
        <v>0</v>
      </c>
      <c r="AP188" s="562"/>
    </row>
    <row r="189" spans="2:42" s="83" customFormat="1" hidden="1">
      <c r="B189" s="79" t="s">
        <v>64</v>
      </c>
      <c r="C189" s="82"/>
      <c r="D189" s="81"/>
      <c r="E189" s="81"/>
      <c r="F189" s="81"/>
      <c r="G189" s="81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  <c r="AC189" s="75"/>
      <c r="AD189" s="75"/>
      <c r="AE189" s="75"/>
      <c r="AF189" s="75"/>
      <c r="AG189" s="75"/>
      <c r="AH189" s="75"/>
      <c r="AI189" s="75"/>
      <c r="AJ189" s="75"/>
      <c r="AK189" s="75"/>
      <c r="AL189" s="166"/>
      <c r="AM189" s="166"/>
      <c r="AN189" s="166"/>
      <c r="AO189" s="76">
        <f t="shared" si="10"/>
        <v>0</v>
      </c>
      <c r="AP189" s="562"/>
    </row>
    <row r="190" spans="2:42" s="83" customFormat="1" hidden="1">
      <c r="B190" s="79" t="s">
        <v>64</v>
      </c>
      <c r="C190" s="82"/>
      <c r="D190" s="81"/>
      <c r="E190" s="81"/>
      <c r="F190" s="81"/>
      <c r="G190" s="81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  <c r="AC190" s="75"/>
      <c r="AD190" s="75"/>
      <c r="AE190" s="75"/>
      <c r="AF190" s="75"/>
      <c r="AG190" s="75"/>
      <c r="AH190" s="75"/>
      <c r="AI190" s="75"/>
      <c r="AJ190" s="75"/>
      <c r="AK190" s="75"/>
      <c r="AL190" s="166"/>
      <c r="AM190" s="166"/>
      <c r="AN190" s="166"/>
      <c r="AO190" s="76">
        <f t="shared" si="10"/>
        <v>0</v>
      </c>
      <c r="AP190" s="562"/>
    </row>
    <row r="191" spans="2:42" s="83" customFormat="1" hidden="1">
      <c r="B191" s="79" t="s">
        <v>64</v>
      </c>
      <c r="C191" s="82"/>
      <c r="D191" s="81"/>
      <c r="E191" s="81"/>
      <c r="F191" s="81"/>
      <c r="G191" s="81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75"/>
      <c r="AD191" s="75"/>
      <c r="AE191" s="75"/>
      <c r="AF191" s="75"/>
      <c r="AG191" s="75"/>
      <c r="AH191" s="75"/>
      <c r="AI191" s="75"/>
      <c r="AJ191" s="75"/>
      <c r="AK191" s="75"/>
      <c r="AL191" s="166"/>
      <c r="AM191" s="166"/>
      <c r="AN191" s="166"/>
      <c r="AO191" s="76">
        <f t="shared" si="10"/>
        <v>0</v>
      </c>
      <c r="AP191" s="562"/>
    </row>
    <row r="192" spans="2:42" s="83" customFormat="1" hidden="1">
      <c r="B192" s="79" t="s">
        <v>64</v>
      </c>
      <c r="C192" s="82"/>
      <c r="D192" s="81"/>
      <c r="E192" s="81"/>
      <c r="F192" s="81"/>
      <c r="G192" s="81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75"/>
      <c r="AD192" s="75"/>
      <c r="AE192" s="75"/>
      <c r="AF192" s="75"/>
      <c r="AG192" s="75"/>
      <c r="AH192" s="75"/>
      <c r="AI192" s="75"/>
      <c r="AJ192" s="75"/>
      <c r="AK192" s="75"/>
      <c r="AL192" s="166"/>
      <c r="AM192" s="166"/>
      <c r="AN192" s="166"/>
      <c r="AO192" s="76">
        <f t="shared" si="10"/>
        <v>0</v>
      </c>
      <c r="AP192" s="562"/>
    </row>
    <row r="193" spans="2:42" s="83" customFormat="1" hidden="1">
      <c r="B193" s="79" t="s">
        <v>64</v>
      </c>
      <c r="C193" s="82"/>
      <c r="D193" s="81"/>
      <c r="E193" s="81"/>
      <c r="F193" s="81"/>
      <c r="G193" s="81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75"/>
      <c r="AD193" s="75"/>
      <c r="AE193" s="75"/>
      <c r="AF193" s="75"/>
      <c r="AG193" s="75"/>
      <c r="AH193" s="75"/>
      <c r="AI193" s="75"/>
      <c r="AJ193" s="75"/>
      <c r="AK193" s="75"/>
      <c r="AL193" s="166"/>
      <c r="AM193" s="166"/>
      <c r="AN193" s="166"/>
      <c r="AO193" s="76">
        <f t="shared" si="10"/>
        <v>0</v>
      </c>
      <c r="AP193" s="562"/>
    </row>
    <row r="194" spans="2:42" s="83" customFormat="1" hidden="1">
      <c r="B194" s="79" t="s">
        <v>64</v>
      </c>
      <c r="C194" s="82"/>
      <c r="D194" s="81"/>
      <c r="E194" s="81"/>
      <c r="F194" s="81"/>
      <c r="G194" s="81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75"/>
      <c r="AD194" s="75"/>
      <c r="AE194" s="75"/>
      <c r="AF194" s="75"/>
      <c r="AG194" s="75"/>
      <c r="AH194" s="75"/>
      <c r="AI194" s="75"/>
      <c r="AJ194" s="75"/>
      <c r="AK194" s="75"/>
      <c r="AL194" s="166"/>
      <c r="AM194" s="166"/>
      <c r="AN194" s="166"/>
      <c r="AO194" s="76">
        <f t="shared" si="10"/>
        <v>0</v>
      </c>
      <c r="AP194" s="562"/>
    </row>
    <row r="195" spans="2:42" s="83" customFormat="1" hidden="1">
      <c r="B195" s="79" t="s">
        <v>64</v>
      </c>
      <c r="C195" s="82"/>
      <c r="D195" s="81"/>
      <c r="E195" s="81"/>
      <c r="F195" s="81"/>
      <c r="G195" s="81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  <c r="AC195" s="75"/>
      <c r="AD195" s="75"/>
      <c r="AE195" s="75"/>
      <c r="AF195" s="75"/>
      <c r="AG195" s="75"/>
      <c r="AH195" s="75"/>
      <c r="AI195" s="75"/>
      <c r="AJ195" s="75"/>
      <c r="AK195" s="75"/>
      <c r="AL195" s="166"/>
      <c r="AM195" s="166"/>
      <c r="AN195" s="166"/>
      <c r="AO195" s="76">
        <f t="shared" si="10"/>
        <v>0</v>
      </c>
      <c r="AP195" s="562"/>
    </row>
    <row r="196" spans="2:42" s="83" customFormat="1" hidden="1">
      <c r="B196" s="79" t="s">
        <v>64</v>
      </c>
      <c r="C196" s="82"/>
      <c r="D196" s="81"/>
      <c r="E196" s="81"/>
      <c r="F196" s="81"/>
      <c r="G196" s="81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  <c r="AC196" s="75"/>
      <c r="AD196" s="75"/>
      <c r="AE196" s="75"/>
      <c r="AF196" s="75"/>
      <c r="AG196" s="75"/>
      <c r="AH196" s="75"/>
      <c r="AI196" s="75"/>
      <c r="AJ196" s="75"/>
      <c r="AK196" s="75"/>
      <c r="AL196" s="166"/>
      <c r="AM196" s="166"/>
      <c r="AN196" s="166"/>
      <c r="AO196" s="76">
        <f t="shared" si="10"/>
        <v>0</v>
      </c>
      <c r="AP196" s="562"/>
    </row>
    <row r="197" spans="2:42" s="83" customFormat="1" hidden="1">
      <c r="B197" s="79" t="s">
        <v>64</v>
      </c>
      <c r="C197" s="82"/>
      <c r="D197" s="81"/>
      <c r="E197" s="81"/>
      <c r="F197" s="81"/>
      <c r="G197" s="81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  <c r="AC197" s="75"/>
      <c r="AD197" s="75"/>
      <c r="AE197" s="75"/>
      <c r="AF197" s="75"/>
      <c r="AG197" s="75"/>
      <c r="AH197" s="75"/>
      <c r="AI197" s="75"/>
      <c r="AJ197" s="75"/>
      <c r="AK197" s="75"/>
      <c r="AL197" s="166"/>
      <c r="AM197" s="166"/>
      <c r="AN197" s="166"/>
      <c r="AO197" s="76">
        <f t="shared" si="10"/>
        <v>0</v>
      </c>
      <c r="AP197" s="562"/>
    </row>
    <row r="198" spans="2:42" s="83" customFormat="1" hidden="1">
      <c r="B198" s="79" t="s">
        <v>64</v>
      </c>
      <c r="C198" s="82"/>
      <c r="D198" s="81"/>
      <c r="E198" s="81"/>
      <c r="F198" s="81"/>
      <c r="G198" s="81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75"/>
      <c r="AD198" s="75"/>
      <c r="AE198" s="75"/>
      <c r="AF198" s="75"/>
      <c r="AG198" s="75"/>
      <c r="AH198" s="75"/>
      <c r="AI198" s="75"/>
      <c r="AJ198" s="75"/>
      <c r="AK198" s="75"/>
      <c r="AL198" s="166"/>
      <c r="AM198" s="166"/>
      <c r="AN198" s="166"/>
      <c r="AO198" s="76">
        <f t="shared" si="10"/>
        <v>0</v>
      </c>
      <c r="AP198" s="562"/>
    </row>
    <row r="199" spans="2:42" s="83" customFormat="1" hidden="1">
      <c r="B199" s="79" t="s">
        <v>64</v>
      </c>
      <c r="C199" s="82"/>
      <c r="D199" s="81"/>
      <c r="E199" s="81"/>
      <c r="F199" s="81"/>
      <c r="G199" s="81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  <c r="AC199" s="75"/>
      <c r="AD199" s="75"/>
      <c r="AE199" s="75"/>
      <c r="AF199" s="75"/>
      <c r="AG199" s="75"/>
      <c r="AH199" s="75"/>
      <c r="AI199" s="75"/>
      <c r="AJ199" s="75"/>
      <c r="AK199" s="75"/>
      <c r="AL199" s="166"/>
      <c r="AM199" s="166"/>
      <c r="AN199" s="166"/>
      <c r="AO199" s="76">
        <f t="shared" si="10"/>
        <v>0</v>
      </c>
      <c r="AP199" s="562"/>
    </row>
    <row r="200" spans="2:42" s="83" customFormat="1" hidden="1">
      <c r="B200" s="79" t="s">
        <v>64</v>
      </c>
      <c r="C200" s="82"/>
      <c r="D200" s="81"/>
      <c r="E200" s="81"/>
      <c r="F200" s="81"/>
      <c r="G200" s="81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75"/>
      <c r="AD200" s="75"/>
      <c r="AE200" s="75"/>
      <c r="AF200" s="75"/>
      <c r="AG200" s="75"/>
      <c r="AH200" s="75"/>
      <c r="AI200" s="75"/>
      <c r="AJ200" s="75"/>
      <c r="AK200" s="75"/>
      <c r="AL200" s="166"/>
      <c r="AM200" s="166"/>
      <c r="AN200" s="166"/>
      <c r="AO200" s="76">
        <f t="shared" ref="AO200:AO207" si="11">SUM(I200:AN200)</f>
        <v>0</v>
      </c>
      <c r="AP200" s="562"/>
    </row>
    <row r="201" spans="2:42" s="83" customFormat="1" hidden="1">
      <c r="B201" s="79" t="s">
        <v>64</v>
      </c>
      <c r="C201" s="82"/>
      <c r="D201" s="81"/>
      <c r="E201" s="81"/>
      <c r="F201" s="81"/>
      <c r="G201" s="81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  <c r="AC201" s="75"/>
      <c r="AD201" s="75"/>
      <c r="AE201" s="75"/>
      <c r="AF201" s="75"/>
      <c r="AG201" s="75"/>
      <c r="AH201" s="166"/>
      <c r="AI201" s="166"/>
      <c r="AJ201" s="166"/>
      <c r="AK201" s="166"/>
      <c r="AL201" s="166"/>
      <c r="AM201" s="166"/>
      <c r="AN201" s="166"/>
      <c r="AO201" s="76">
        <f t="shared" si="11"/>
        <v>0</v>
      </c>
      <c r="AP201" s="562"/>
    </row>
    <row r="202" spans="2:42" s="83" customFormat="1" hidden="1">
      <c r="B202" s="79" t="s">
        <v>64</v>
      </c>
      <c r="C202" s="82"/>
      <c r="D202" s="81"/>
      <c r="E202" s="81"/>
      <c r="F202" s="81"/>
      <c r="G202" s="81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  <c r="AC202" s="75"/>
      <c r="AD202" s="75"/>
      <c r="AE202" s="75"/>
      <c r="AF202" s="75"/>
      <c r="AG202" s="75"/>
      <c r="AH202" s="166"/>
      <c r="AI202" s="166"/>
      <c r="AJ202" s="166"/>
      <c r="AK202" s="166"/>
      <c r="AL202" s="166"/>
      <c r="AM202" s="166"/>
      <c r="AN202" s="166"/>
      <c r="AO202" s="76">
        <f t="shared" si="11"/>
        <v>0</v>
      </c>
      <c r="AP202" s="562"/>
    </row>
    <row r="203" spans="2:42" s="83" customFormat="1" hidden="1">
      <c r="B203" s="79" t="s">
        <v>64</v>
      </c>
      <c r="C203" s="82"/>
      <c r="D203" s="81"/>
      <c r="E203" s="81"/>
      <c r="F203" s="81"/>
      <c r="G203" s="81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75"/>
      <c r="AD203" s="75"/>
      <c r="AE203" s="75"/>
      <c r="AF203" s="75"/>
      <c r="AG203" s="75"/>
      <c r="AH203" s="166"/>
      <c r="AI203" s="166"/>
      <c r="AJ203" s="166"/>
      <c r="AK203" s="166"/>
      <c r="AL203" s="166"/>
      <c r="AM203" s="166"/>
      <c r="AN203" s="166"/>
      <c r="AO203" s="76">
        <f t="shared" si="11"/>
        <v>0</v>
      </c>
      <c r="AP203" s="562"/>
    </row>
    <row r="204" spans="2:42" s="83" customFormat="1" hidden="1">
      <c r="B204" s="79" t="s">
        <v>64</v>
      </c>
      <c r="C204" s="82"/>
      <c r="D204" s="81"/>
      <c r="E204" s="81"/>
      <c r="F204" s="81"/>
      <c r="G204" s="81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  <c r="AC204" s="75"/>
      <c r="AD204" s="75"/>
      <c r="AE204" s="75"/>
      <c r="AF204" s="75"/>
      <c r="AG204" s="75"/>
      <c r="AH204" s="166"/>
      <c r="AI204" s="166"/>
      <c r="AJ204" s="166"/>
      <c r="AK204" s="166"/>
      <c r="AL204" s="166"/>
      <c r="AM204" s="166"/>
      <c r="AN204" s="166"/>
      <c r="AO204" s="76">
        <f t="shared" si="11"/>
        <v>0</v>
      </c>
      <c r="AP204" s="562"/>
    </row>
    <row r="205" spans="2:42" s="83" customFormat="1" hidden="1">
      <c r="B205" s="79" t="s">
        <v>64</v>
      </c>
      <c r="C205" s="82"/>
      <c r="D205" s="81"/>
      <c r="E205" s="81"/>
      <c r="F205" s="81"/>
      <c r="G205" s="81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75"/>
      <c r="AD205" s="75"/>
      <c r="AE205" s="75"/>
      <c r="AF205" s="75"/>
      <c r="AG205" s="75"/>
      <c r="AH205" s="166"/>
      <c r="AI205" s="166"/>
      <c r="AJ205" s="166"/>
      <c r="AK205" s="166"/>
      <c r="AL205" s="166"/>
      <c r="AM205" s="166"/>
      <c r="AN205" s="166"/>
      <c r="AO205" s="76">
        <f t="shared" si="11"/>
        <v>0</v>
      </c>
      <c r="AP205" s="562"/>
    </row>
    <row r="206" spans="2:42" s="83" customFormat="1" hidden="1">
      <c r="B206" s="79" t="s">
        <v>64</v>
      </c>
      <c r="C206" s="82"/>
      <c r="D206" s="81"/>
      <c r="E206" s="81"/>
      <c r="F206" s="81"/>
      <c r="G206" s="81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  <c r="AC206" s="75"/>
      <c r="AD206" s="75"/>
      <c r="AE206" s="75"/>
      <c r="AF206" s="75"/>
      <c r="AG206" s="75"/>
      <c r="AH206" s="166"/>
      <c r="AI206" s="166"/>
      <c r="AJ206" s="166"/>
      <c r="AK206" s="166"/>
      <c r="AL206" s="166"/>
      <c r="AM206" s="166"/>
      <c r="AN206" s="166"/>
      <c r="AO206" s="76">
        <f t="shared" si="11"/>
        <v>0</v>
      </c>
      <c r="AP206" s="562"/>
    </row>
    <row r="207" spans="2:42" s="83" customFormat="1" hidden="1">
      <c r="B207" s="79" t="s">
        <v>64</v>
      </c>
      <c r="C207" s="82"/>
      <c r="D207" s="81"/>
      <c r="E207" s="81"/>
      <c r="F207" s="81"/>
      <c r="G207" s="81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  <c r="AC207" s="75"/>
      <c r="AD207" s="75"/>
      <c r="AE207" s="75"/>
      <c r="AF207" s="75"/>
      <c r="AG207" s="75"/>
      <c r="AH207" s="166"/>
      <c r="AI207" s="166"/>
      <c r="AJ207" s="166"/>
      <c r="AK207" s="166"/>
      <c r="AL207" s="166"/>
      <c r="AM207" s="166"/>
      <c r="AN207" s="166"/>
      <c r="AO207" s="76">
        <f t="shared" si="11"/>
        <v>0</v>
      </c>
      <c r="AP207" s="562"/>
    </row>
    <row r="208" spans="2:42" s="83" customFormat="1" hidden="1">
      <c r="B208" s="79" t="s">
        <v>64</v>
      </c>
      <c r="C208" s="82"/>
      <c r="D208" s="81"/>
      <c r="E208" s="81"/>
      <c r="F208" s="81"/>
      <c r="G208" s="81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  <c r="AC208" s="75"/>
      <c r="AD208" s="75"/>
      <c r="AE208" s="75"/>
      <c r="AF208" s="75"/>
      <c r="AG208" s="75"/>
      <c r="AH208" s="166"/>
      <c r="AI208" s="166"/>
      <c r="AJ208" s="166"/>
      <c r="AK208" s="166"/>
      <c r="AL208" s="166"/>
      <c r="AM208" s="166"/>
      <c r="AN208" s="166"/>
      <c r="AO208" s="76">
        <f t="shared" ref="AO208:AO213" si="12">SUM(I208:AN208)</f>
        <v>0</v>
      </c>
      <c r="AP208" s="562"/>
    </row>
    <row r="209" spans="2:42" s="83" customFormat="1" hidden="1">
      <c r="B209" s="79" t="s">
        <v>64</v>
      </c>
      <c r="C209" s="82"/>
      <c r="D209" s="81"/>
      <c r="E209" s="81"/>
      <c r="F209" s="81"/>
      <c r="G209" s="81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  <c r="AC209" s="75"/>
      <c r="AD209" s="75"/>
      <c r="AE209" s="75"/>
      <c r="AF209" s="75"/>
      <c r="AG209" s="75"/>
      <c r="AH209" s="166"/>
      <c r="AI209" s="166"/>
      <c r="AJ209" s="166"/>
      <c r="AK209" s="166"/>
      <c r="AL209" s="166"/>
      <c r="AM209" s="166"/>
      <c r="AN209" s="166"/>
      <c r="AO209" s="76">
        <f t="shared" si="12"/>
        <v>0</v>
      </c>
      <c r="AP209" s="562"/>
    </row>
    <row r="210" spans="2:42" s="83" customFormat="1" hidden="1">
      <c r="B210" s="79" t="s">
        <v>64</v>
      </c>
      <c r="C210" s="82"/>
      <c r="D210" s="81"/>
      <c r="E210" s="81"/>
      <c r="F210" s="81"/>
      <c r="G210" s="81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75"/>
      <c r="AD210" s="75"/>
      <c r="AE210" s="75"/>
      <c r="AF210" s="75"/>
      <c r="AG210" s="75"/>
      <c r="AH210" s="166"/>
      <c r="AI210" s="166"/>
      <c r="AJ210" s="166"/>
      <c r="AK210" s="166"/>
      <c r="AL210" s="166"/>
      <c r="AM210" s="166"/>
      <c r="AN210" s="166"/>
      <c r="AO210" s="76">
        <f t="shared" si="12"/>
        <v>0</v>
      </c>
      <c r="AP210" s="562"/>
    </row>
    <row r="211" spans="2:42" s="83" customFormat="1" hidden="1">
      <c r="B211" s="79" t="s">
        <v>64</v>
      </c>
      <c r="C211" s="82"/>
      <c r="D211" s="81"/>
      <c r="E211" s="81"/>
      <c r="F211" s="81"/>
      <c r="G211" s="81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  <c r="AC211" s="75"/>
      <c r="AD211" s="75"/>
      <c r="AE211" s="75"/>
      <c r="AF211" s="75"/>
      <c r="AG211" s="75"/>
      <c r="AH211" s="166"/>
      <c r="AI211" s="166"/>
      <c r="AJ211" s="166"/>
      <c r="AK211" s="166"/>
      <c r="AL211" s="166"/>
      <c r="AM211" s="166"/>
      <c r="AN211" s="166"/>
      <c r="AO211" s="76">
        <f t="shared" si="12"/>
        <v>0</v>
      </c>
      <c r="AP211" s="562"/>
    </row>
    <row r="212" spans="2:42" s="83" customFormat="1" hidden="1">
      <c r="B212" s="79" t="s">
        <v>64</v>
      </c>
      <c r="C212" s="82"/>
      <c r="D212" s="81"/>
      <c r="E212" s="81"/>
      <c r="F212" s="81"/>
      <c r="G212" s="81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75"/>
      <c r="AD212" s="75"/>
      <c r="AE212" s="75"/>
      <c r="AF212" s="75"/>
      <c r="AG212" s="75"/>
      <c r="AH212" s="166"/>
      <c r="AI212" s="166"/>
      <c r="AJ212" s="166"/>
      <c r="AK212" s="166"/>
      <c r="AL212" s="166"/>
      <c r="AM212" s="166"/>
      <c r="AN212" s="166"/>
      <c r="AO212" s="76">
        <f t="shared" si="12"/>
        <v>0</v>
      </c>
      <c r="AP212" s="562"/>
    </row>
    <row r="213" spans="2:42" s="83" customFormat="1" hidden="1">
      <c r="B213" s="79" t="s">
        <v>64</v>
      </c>
      <c r="C213" s="82"/>
      <c r="D213" s="81"/>
      <c r="E213" s="81"/>
      <c r="F213" s="81"/>
      <c r="G213" s="81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  <c r="AC213" s="75"/>
      <c r="AD213" s="75"/>
      <c r="AE213" s="75"/>
      <c r="AF213" s="75"/>
      <c r="AG213" s="75"/>
      <c r="AH213" s="166"/>
      <c r="AI213" s="166"/>
      <c r="AJ213" s="166"/>
      <c r="AK213" s="166"/>
      <c r="AL213" s="166"/>
      <c r="AM213" s="166"/>
      <c r="AN213" s="166"/>
      <c r="AO213" s="76">
        <f t="shared" si="12"/>
        <v>0</v>
      </c>
      <c r="AP213" s="562"/>
    </row>
    <row r="214" spans="2:42" s="83" customFormat="1" hidden="1">
      <c r="B214" s="79" t="s">
        <v>64</v>
      </c>
      <c r="C214" s="82"/>
      <c r="D214" s="81"/>
      <c r="E214" s="81"/>
      <c r="F214" s="81"/>
      <c r="G214" s="81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  <c r="AC214" s="75"/>
      <c r="AD214" s="75"/>
      <c r="AE214" s="75"/>
      <c r="AF214" s="75"/>
      <c r="AG214" s="75"/>
      <c r="AH214" s="166"/>
      <c r="AI214" s="166"/>
      <c r="AJ214" s="166"/>
      <c r="AK214" s="166"/>
      <c r="AL214" s="166"/>
      <c r="AM214" s="166"/>
      <c r="AN214" s="166"/>
      <c r="AO214" s="76">
        <f t="shared" ref="AO214:AO220" si="13">SUM(I214:AN214)</f>
        <v>0</v>
      </c>
      <c r="AP214" s="562"/>
    </row>
    <row r="215" spans="2:42" s="83" customFormat="1" hidden="1">
      <c r="B215" s="79" t="s">
        <v>64</v>
      </c>
      <c r="C215" s="82"/>
      <c r="D215" s="81"/>
      <c r="E215" s="81"/>
      <c r="F215" s="81"/>
      <c r="G215" s="81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  <c r="AC215" s="75"/>
      <c r="AD215" s="75"/>
      <c r="AE215" s="75"/>
      <c r="AF215" s="75"/>
      <c r="AG215" s="75"/>
      <c r="AH215" s="166"/>
      <c r="AI215" s="166"/>
      <c r="AJ215" s="166"/>
      <c r="AK215" s="166"/>
      <c r="AL215" s="166"/>
      <c r="AM215" s="166"/>
      <c r="AN215" s="166"/>
      <c r="AO215" s="76">
        <f t="shared" si="13"/>
        <v>0</v>
      </c>
      <c r="AP215" s="562"/>
    </row>
    <row r="216" spans="2:42" s="83" customFormat="1" hidden="1">
      <c r="B216" s="79" t="s">
        <v>64</v>
      </c>
      <c r="C216" s="82"/>
      <c r="D216" s="81"/>
      <c r="E216" s="81"/>
      <c r="F216" s="81"/>
      <c r="G216" s="81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  <c r="AC216" s="75"/>
      <c r="AD216" s="75"/>
      <c r="AE216" s="75"/>
      <c r="AF216" s="75"/>
      <c r="AG216" s="75"/>
      <c r="AH216" s="166"/>
      <c r="AI216" s="166"/>
      <c r="AJ216" s="166"/>
      <c r="AK216" s="166"/>
      <c r="AL216" s="166"/>
      <c r="AM216" s="166"/>
      <c r="AN216" s="166"/>
      <c r="AO216" s="76">
        <f t="shared" si="13"/>
        <v>0</v>
      </c>
      <c r="AP216" s="562"/>
    </row>
    <row r="217" spans="2:42" s="83" customFormat="1" hidden="1">
      <c r="B217" s="79" t="s">
        <v>64</v>
      </c>
      <c r="C217" s="82"/>
      <c r="D217" s="81"/>
      <c r="E217" s="81"/>
      <c r="F217" s="81"/>
      <c r="G217" s="81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  <c r="AC217" s="75"/>
      <c r="AD217" s="75"/>
      <c r="AE217" s="75"/>
      <c r="AF217" s="75"/>
      <c r="AG217" s="75"/>
      <c r="AH217" s="166"/>
      <c r="AI217" s="166"/>
      <c r="AJ217" s="166"/>
      <c r="AK217" s="166"/>
      <c r="AL217" s="166"/>
      <c r="AM217" s="166"/>
      <c r="AN217" s="166"/>
      <c r="AO217" s="76">
        <f t="shared" si="13"/>
        <v>0</v>
      </c>
      <c r="AP217" s="562"/>
    </row>
    <row r="218" spans="2:42" s="83" customFormat="1" hidden="1">
      <c r="B218" s="79" t="s">
        <v>64</v>
      </c>
      <c r="C218" s="82"/>
      <c r="D218" s="81"/>
      <c r="E218" s="81"/>
      <c r="F218" s="81"/>
      <c r="G218" s="81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  <c r="AC218" s="75"/>
      <c r="AD218" s="75"/>
      <c r="AE218" s="75"/>
      <c r="AF218" s="75"/>
      <c r="AG218" s="75"/>
      <c r="AH218" s="166"/>
      <c r="AI218" s="166"/>
      <c r="AJ218" s="166"/>
      <c r="AK218" s="166"/>
      <c r="AL218" s="166"/>
      <c r="AM218" s="166"/>
      <c r="AN218" s="166"/>
      <c r="AO218" s="76">
        <f t="shared" si="13"/>
        <v>0</v>
      </c>
      <c r="AP218" s="562"/>
    </row>
    <row r="219" spans="2:42" s="83" customFormat="1" hidden="1">
      <c r="B219" s="79" t="s">
        <v>64</v>
      </c>
      <c r="C219" s="82"/>
      <c r="D219" s="81"/>
      <c r="E219" s="81"/>
      <c r="F219" s="81"/>
      <c r="G219" s="81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  <c r="AC219" s="75"/>
      <c r="AD219" s="75"/>
      <c r="AE219" s="75"/>
      <c r="AF219" s="75"/>
      <c r="AG219" s="75"/>
      <c r="AH219" s="166"/>
      <c r="AI219" s="166"/>
      <c r="AJ219" s="166"/>
      <c r="AK219" s="166"/>
      <c r="AL219" s="166"/>
      <c r="AM219" s="166"/>
      <c r="AN219" s="166"/>
      <c r="AO219" s="76">
        <f t="shared" si="13"/>
        <v>0</v>
      </c>
      <c r="AP219" s="562"/>
    </row>
    <row r="220" spans="2:42" s="83" customFormat="1" hidden="1">
      <c r="B220" s="79" t="s">
        <v>64</v>
      </c>
      <c r="C220" s="82"/>
      <c r="D220" s="81"/>
      <c r="E220" s="81"/>
      <c r="F220" s="81"/>
      <c r="G220" s="81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  <c r="AC220" s="75"/>
      <c r="AD220" s="75"/>
      <c r="AE220" s="75"/>
      <c r="AF220" s="75"/>
      <c r="AG220" s="75"/>
      <c r="AH220" s="166"/>
      <c r="AI220" s="166"/>
      <c r="AJ220" s="166"/>
      <c r="AK220" s="166"/>
      <c r="AL220" s="166"/>
      <c r="AM220" s="166"/>
      <c r="AN220" s="166"/>
      <c r="AO220" s="76">
        <f t="shared" si="13"/>
        <v>0</v>
      </c>
      <c r="AP220" s="562"/>
    </row>
    <row r="221" spans="2:42" s="83" customFormat="1" hidden="1">
      <c r="B221" s="79" t="s">
        <v>64</v>
      </c>
      <c r="C221" s="82"/>
      <c r="D221" s="81"/>
      <c r="E221" s="81"/>
      <c r="F221" s="81"/>
      <c r="G221" s="81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  <c r="AC221" s="75"/>
      <c r="AD221" s="75"/>
      <c r="AE221" s="75"/>
      <c r="AF221" s="75"/>
      <c r="AG221" s="75"/>
      <c r="AH221" s="166"/>
      <c r="AI221" s="166"/>
      <c r="AJ221" s="166"/>
      <c r="AK221" s="166"/>
      <c r="AL221" s="166"/>
      <c r="AM221" s="166"/>
      <c r="AN221" s="166"/>
      <c r="AO221" s="76">
        <f>SUM(I221:AN221)</f>
        <v>0</v>
      </c>
      <c r="AP221" s="562"/>
    </row>
    <row r="222" spans="2:42" s="83" customFormat="1" ht="16.5" hidden="1" thickBot="1">
      <c r="B222" s="88" t="s">
        <v>64</v>
      </c>
      <c r="C222" s="82"/>
      <c r="D222" s="81"/>
      <c r="E222" s="90"/>
      <c r="F222" s="90"/>
      <c r="G222" s="90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  <c r="AC222" s="107"/>
      <c r="AD222" s="107"/>
      <c r="AE222" s="107"/>
      <c r="AF222" s="107"/>
      <c r="AG222" s="107"/>
      <c r="AH222" s="107"/>
      <c r="AI222" s="107"/>
      <c r="AJ222" s="107"/>
      <c r="AK222" s="107"/>
      <c r="AL222" s="491"/>
      <c r="AM222" s="491"/>
      <c r="AN222" s="491"/>
      <c r="AO222" s="104">
        <f>SUM(I222:AN222)</f>
        <v>0</v>
      </c>
      <c r="AP222" s="590"/>
    </row>
    <row r="223" spans="2:42" s="83" customFormat="1" ht="17" thickTop="1" thickBot="1">
      <c r="B223" s="92" t="s">
        <v>66</v>
      </c>
      <c r="C223" s="578" t="s">
        <v>49</v>
      </c>
      <c r="D223" s="578"/>
      <c r="E223" s="578"/>
      <c r="F223" s="578"/>
      <c r="G223" s="578"/>
      <c r="H223" s="578"/>
      <c r="I223" s="93">
        <f t="shared" ref="I223:AP223" si="14">SUM(I5:I222)</f>
        <v>3.5</v>
      </c>
      <c r="J223" s="93">
        <f t="shared" si="14"/>
        <v>0</v>
      </c>
      <c r="K223" s="93">
        <f t="shared" si="14"/>
        <v>1.5</v>
      </c>
      <c r="L223" s="93">
        <f t="shared" si="14"/>
        <v>0</v>
      </c>
      <c r="M223" s="93">
        <f t="shared" si="14"/>
        <v>1</v>
      </c>
      <c r="N223" s="93">
        <f t="shared" si="14"/>
        <v>0</v>
      </c>
      <c r="O223" s="93">
        <f t="shared" si="14"/>
        <v>0</v>
      </c>
      <c r="P223" s="93">
        <f t="shared" si="14"/>
        <v>7.5</v>
      </c>
      <c r="Q223" s="93">
        <f t="shared" si="14"/>
        <v>2.5</v>
      </c>
      <c r="R223" s="93">
        <f t="shared" si="14"/>
        <v>0</v>
      </c>
      <c r="S223" s="93">
        <f t="shared" si="14"/>
        <v>1</v>
      </c>
      <c r="T223" s="93">
        <f t="shared" si="14"/>
        <v>0</v>
      </c>
      <c r="U223" s="93">
        <f t="shared" si="14"/>
        <v>1</v>
      </c>
      <c r="V223" s="93">
        <f t="shared" si="14"/>
        <v>0</v>
      </c>
      <c r="W223" s="93">
        <f t="shared" si="14"/>
        <v>0</v>
      </c>
      <c r="X223" s="93">
        <f t="shared" si="14"/>
        <v>0</v>
      </c>
      <c r="Y223" s="93">
        <f t="shared" si="14"/>
        <v>0</v>
      </c>
      <c r="Z223" s="93">
        <f t="shared" si="14"/>
        <v>0</v>
      </c>
      <c r="AA223" s="93">
        <f t="shared" si="14"/>
        <v>0</v>
      </c>
      <c r="AB223" s="93">
        <f t="shared" si="14"/>
        <v>1.5</v>
      </c>
      <c r="AC223" s="93">
        <f t="shared" si="14"/>
        <v>16.5</v>
      </c>
      <c r="AD223" s="93">
        <f t="shared" si="14"/>
        <v>0</v>
      </c>
      <c r="AE223" s="93">
        <f t="shared" si="14"/>
        <v>0</v>
      </c>
      <c r="AF223" s="93">
        <f t="shared" si="14"/>
        <v>0</v>
      </c>
      <c r="AG223" s="93">
        <f t="shared" si="14"/>
        <v>0</v>
      </c>
      <c r="AH223" s="93">
        <f t="shared" si="14"/>
        <v>0</v>
      </c>
      <c r="AI223" s="93">
        <f t="shared" si="14"/>
        <v>0</v>
      </c>
      <c r="AJ223" s="93">
        <f t="shared" si="14"/>
        <v>0</v>
      </c>
      <c r="AK223" s="93">
        <f t="shared" si="14"/>
        <v>0</v>
      </c>
      <c r="AL223" s="492">
        <f t="shared" si="14"/>
        <v>0</v>
      </c>
      <c r="AM223" s="492">
        <f t="shared" si="14"/>
        <v>0</v>
      </c>
      <c r="AN223" s="492">
        <f t="shared" si="14"/>
        <v>0</v>
      </c>
      <c r="AO223" s="93">
        <f>SUM(AO5:AO222)</f>
        <v>36</v>
      </c>
      <c r="AP223" s="93">
        <f t="shared" si="14"/>
        <v>36</v>
      </c>
    </row>
    <row r="224" spans="2:42" s="83" customFormat="1" ht="17" thickTop="1" thickBot="1">
      <c r="B224" s="98" t="s">
        <v>66</v>
      </c>
      <c r="C224" s="573" t="s">
        <v>49</v>
      </c>
      <c r="D224" s="573"/>
      <c r="E224" s="573"/>
      <c r="F224" s="573"/>
      <c r="G224" s="573"/>
      <c r="H224" s="573"/>
      <c r="I224" s="99">
        <f>I223</f>
        <v>3.5</v>
      </c>
      <c r="J224" s="569">
        <f>+J223+K223</f>
        <v>1.5</v>
      </c>
      <c r="K224" s="570"/>
      <c r="L224" s="99">
        <f>L223</f>
        <v>0</v>
      </c>
      <c r="M224" s="99">
        <f>M223</f>
        <v>1</v>
      </c>
      <c r="N224" s="99">
        <f>N223</f>
        <v>0</v>
      </c>
      <c r="O224" s="99">
        <f>O223</f>
        <v>0</v>
      </c>
      <c r="P224" s="99">
        <f>P223</f>
        <v>7.5</v>
      </c>
      <c r="Q224" s="569">
        <f>+Q223+R223+S223+T223+U223+V223+X223+Y223</f>
        <v>4.5</v>
      </c>
      <c r="R224" s="595"/>
      <c r="S224" s="595"/>
      <c r="T224" s="595"/>
      <c r="U224" s="595"/>
      <c r="V224" s="595"/>
      <c r="W224" s="595"/>
      <c r="X224" s="595"/>
      <c r="Y224" s="595"/>
      <c r="Z224" s="572">
        <f>+Z223+AA223+AB223</f>
        <v>1.5</v>
      </c>
      <c r="AA224" s="572"/>
      <c r="AB224" s="572"/>
      <c r="AC224" s="99">
        <f>AC223</f>
        <v>16.5</v>
      </c>
      <c r="AD224" s="99">
        <f>AD223</f>
        <v>0</v>
      </c>
      <c r="AE224" s="99">
        <f>AE223</f>
        <v>0</v>
      </c>
      <c r="AF224" s="572">
        <f>+AF223+AG223+AH223</f>
        <v>0</v>
      </c>
      <c r="AG224" s="572"/>
      <c r="AH224" s="572"/>
      <c r="AI224" s="99">
        <f t="shared" ref="AI224:AP224" si="15">AI223</f>
        <v>0</v>
      </c>
      <c r="AJ224" s="99">
        <f t="shared" si="15"/>
        <v>0</v>
      </c>
      <c r="AK224" s="99">
        <f t="shared" si="15"/>
        <v>0</v>
      </c>
      <c r="AL224" s="493">
        <f t="shared" si="15"/>
        <v>0</v>
      </c>
      <c r="AM224" s="493">
        <f t="shared" si="15"/>
        <v>0</v>
      </c>
      <c r="AN224" s="493">
        <f t="shared" si="15"/>
        <v>0</v>
      </c>
      <c r="AO224" s="99">
        <f>AO223</f>
        <v>36</v>
      </c>
      <c r="AP224" s="99">
        <f t="shared" si="15"/>
        <v>36</v>
      </c>
    </row>
    <row r="225" spans="2:44" s="83" customFormat="1" ht="16.5" thickTop="1">
      <c r="B225" s="82" t="s">
        <v>88</v>
      </c>
      <c r="C225" s="496">
        <v>44753</v>
      </c>
      <c r="D225" s="497">
        <v>6</v>
      </c>
      <c r="E225" s="497" t="s">
        <v>156</v>
      </c>
      <c r="F225" s="497" t="s">
        <v>142</v>
      </c>
      <c r="G225" s="498" t="s">
        <v>137</v>
      </c>
      <c r="H225" s="497">
        <v>39</v>
      </c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>
        <v>0.5</v>
      </c>
      <c r="AC225" s="75"/>
      <c r="AD225" s="75"/>
      <c r="AE225" s="75"/>
      <c r="AF225" s="75"/>
      <c r="AG225" s="75"/>
      <c r="AH225" s="75"/>
      <c r="AI225" s="75"/>
      <c r="AJ225" s="75"/>
      <c r="AK225" s="75"/>
      <c r="AL225" s="166"/>
      <c r="AM225" s="166"/>
      <c r="AN225" s="166"/>
      <c r="AO225" s="283">
        <f>SUM(I225:AN225)</f>
        <v>0.5</v>
      </c>
      <c r="AP225" s="594">
        <f>SUM(AO225:AO227)</f>
        <v>1.5</v>
      </c>
      <c r="AR225" s="409" t="s">
        <v>115</v>
      </c>
    </row>
    <row r="226" spans="2:44" s="83" customFormat="1">
      <c r="B226" s="82" t="s">
        <v>88</v>
      </c>
      <c r="C226" s="496">
        <v>44753</v>
      </c>
      <c r="D226" s="497">
        <v>6</v>
      </c>
      <c r="E226" s="497" t="s">
        <v>156</v>
      </c>
      <c r="F226" s="497" t="s">
        <v>142</v>
      </c>
      <c r="G226" s="498" t="s">
        <v>146</v>
      </c>
      <c r="H226" s="497">
        <v>38</v>
      </c>
      <c r="I226" s="80"/>
      <c r="J226" s="80"/>
      <c r="K226" s="80"/>
      <c r="L226" s="80"/>
      <c r="M226" s="80"/>
      <c r="N226" s="80"/>
      <c r="O226" s="80"/>
      <c r="P226" s="80">
        <v>0.5</v>
      </c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  <c r="AC226" s="75"/>
      <c r="AD226" s="75"/>
      <c r="AE226" s="75"/>
      <c r="AF226" s="75"/>
      <c r="AG226" s="75"/>
      <c r="AH226" s="75"/>
      <c r="AI226" s="75"/>
      <c r="AJ226" s="75"/>
      <c r="AK226" s="75"/>
      <c r="AL226" s="166"/>
      <c r="AM226" s="166"/>
      <c r="AN226" s="166"/>
      <c r="AO226" s="284">
        <f t="shared" ref="AO226:AO256" si="16">SUM(I226:AN226)</f>
        <v>0.5</v>
      </c>
      <c r="AP226" s="592"/>
      <c r="AR226" s="409" t="s">
        <v>115</v>
      </c>
    </row>
    <row r="227" spans="2:44" s="83" customFormat="1" ht="16.5" thickBot="1">
      <c r="B227" s="82" t="s">
        <v>88</v>
      </c>
      <c r="C227" s="496">
        <v>44753</v>
      </c>
      <c r="D227" s="497">
        <v>6</v>
      </c>
      <c r="E227" s="498" t="s">
        <v>155</v>
      </c>
      <c r="F227" s="497" t="s">
        <v>158</v>
      </c>
      <c r="G227" s="498" t="s">
        <v>154</v>
      </c>
      <c r="H227" s="512">
        <v>44</v>
      </c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>
        <v>0.5</v>
      </c>
      <c r="AC227" s="75"/>
      <c r="AD227" s="75"/>
      <c r="AE227" s="75"/>
      <c r="AF227" s="75"/>
      <c r="AG227" s="75"/>
      <c r="AH227" s="75"/>
      <c r="AI227" s="75"/>
      <c r="AJ227" s="75"/>
      <c r="AK227" s="75"/>
      <c r="AL227" s="166"/>
      <c r="AM227" s="166"/>
      <c r="AN227" s="166"/>
      <c r="AO227" s="284">
        <f>SUM(I227:AN227)</f>
        <v>0.5</v>
      </c>
      <c r="AP227" s="593"/>
      <c r="AR227" s="409" t="s">
        <v>115</v>
      </c>
    </row>
    <row r="228" spans="2:44" s="83" customFormat="1">
      <c r="B228" s="82" t="s">
        <v>88</v>
      </c>
      <c r="C228" s="496">
        <v>44754</v>
      </c>
      <c r="D228" s="497">
        <v>6</v>
      </c>
      <c r="E228" s="497" t="s">
        <v>156</v>
      </c>
      <c r="F228" s="497" t="s">
        <v>142</v>
      </c>
      <c r="G228" s="498" t="s">
        <v>137</v>
      </c>
      <c r="H228" s="512">
        <v>35</v>
      </c>
      <c r="I228" s="80"/>
      <c r="J228" s="80"/>
      <c r="K228" s="80">
        <v>0.5</v>
      </c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75"/>
      <c r="AD228" s="75"/>
      <c r="AE228" s="75"/>
      <c r="AF228" s="75"/>
      <c r="AG228" s="166"/>
      <c r="AH228" s="75"/>
      <c r="AI228" s="75"/>
      <c r="AJ228" s="75"/>
      <c r="AK228" s="75"/>
      <c r="AL228" s="166"/>
      <c r="AM228" s="166"/>
      <c r="AN228" s="166"/>
      <c r="AO228" s="284">
        <f t="shared" si="16"/>
        <v>0.5</v>
      </c>
      <c r="AP228" s="591">
        <f>SUM(AO228:AO232)</f>
        <v>3.5</v>
      </c>
      <c r="AR228" s="409" t="s">
        <v>115</v>
      </c>
    </row>
    <row r="229" spans="2:44" s="83" customFormat="1">
      <c r="B229" s="82" t="s">
        <v>88</v>
      </c>
      <c r="C229" s="496">
        <v>44754</v>
      </c>
      <c r="D229" s="497">
        <v>6</v>
      </c>
      <c r="E229" s="497" t="s">
        <v>156</v>
      </c>
      <c r="F229" s="497" t="s">
        <v>142</v>
      </c>
      <c r="G229" s="498" t="s">
        <v>137</v>
      </c>
      <c r="H229" s="497">
        <v>36</v>
      </c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>
        <v>0.5</v>
      </c>
      <c r="AC229" s="75"/>
      <c r="AD229" s="75"/>
      <c r="AE229" s="166"/>
      <c r="AF229" s="166"/>
      <c r="AG229" s="166"/>
      <c r="AH229" s="166"/>
      <c r="AI229" s="75"/>
      <c r="AJ229" s="75"/>
      <c r="AK229" s="75"/>
      <c r="AL229" s="166"/>
      <c r="AM229" s="166"/>
      <c r="AN229" s="166"/>
      <c r="AO229" s="284">
        <f t="shared" si="16"/>
        <v>0.5</v>
      </c>
      <c r="AP229" s="592"/>
      <c r="AR229" s="409" t="s">
        <v>115</v>
      </c>
    </row>
    <row r="230" spans="2:44" s="83" customFormat="1">
      <c r="B230" s="82" t="s">
        <v>88</v>
      </c>
      <c r="C230" s="496">
        <v>44754</v>
      </c>
      <c r="D230" s="497">
        <v>6</v>
      </c>
      <c r="E230" s="497" t="s">
        <v>156</v>
      </c>
      <c r="F230" s="497" t="s">
        <v>142</v>
      </c>
      <c r="G230" s="498" t="s">
        <v>137</v>
      </c>
      <c r="H230" s="497">
        <v>39</v>
      </c>
      <c r="I230" s="410"/>
      <c r="J230" s="80"/>
      <c r="K230" s="80"/>
      <c r="L230" s="80"/>
      <c r="M230" s="80"/>
      <c r="N230" s="80"/>
      <c r="O230" s="80"/>
      <c r="P230" s="80"/>
      <c r="Q230" s="80"/>
      <c r="R230" s="80"/>
      <c r="S230" s="80">
        <v>0.5</v>
      </c>
      <c r="T230" s="80"/>
      <c r="U230" s="80"/>
      <c r="V230" s="80"/>
      <c r="W230" s="80"/>
      <c r="X230" s="80"/>
      <c r="Y230" s="80"/>
      <c r="Z230" s="80"/>
      <c r="AA230" s="80"/>
      <c r="AB230" s="80"/>
      <c r="AC230" s="75"/>
      <c r="AD230" s="75"/>
      <c r="AE230" s="166"/>
      <c r="AF230" s="166"/>
      <c r="AG230" s="166"/>
      <c r="AH230" s="166"/>
      <c r="AI230" s="75"/>
      <c r="AJ230" s="75"/>
      <c r="AK230" s="75"/>
      <c r="AL230" s="166"/>
      <c r="AM230" s="166"/>
      <c r="AN230" s="166"/>
      <c r="AO230" s="284">
        <f t="shared" si="16"/>
        <v>0.5</v>
      </c>
      <c r="AP230" s="592"/>
      <c r="AR230" s="409" t="s">
        <v>115</v>
      </c>
    </row>
    <row r="231" spans="2:44" s="83" customFormat="1">
      <c r="B231" s="82" t="s">
        <v>88</v>
      </c>
      <c r="C231" s="496">
        <v>44754</v>
      </c>
      <c r="D231" s="497">
        <v>6</v>
      </c>
      <c r="E231" s="498" t="s">
        <v>155</v>
      </c>
      <c r="F231" s="497" t="s">
        <v>158</v>
      </c>
      <c r="G231" s="498" t="s">
        <v>154</v>
      </c>
      <c r="H231" s="497">
        <v>39</v>
      </c>
      <c r="I231" s="410"/>
      <c r="J231" s="80"/>
      <c r="K231" s="80"/>
      <c r="L231" s="80"/>
      <c r="M231" s="80"/>
      <c r="N231" s="80"/>
      <c r="O231" s="80"/>
      <c r="P231" s="80">
        <v>1</v>
      </c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  <c r="AC231" s="75"/>
      <c r="AD231" s="75"/>
      <c r="AE231" s="166"/>
      <c r="AF231" s="166"/>
      <c r="AG231" s="166"/>
      <c r="AH231" s="166"/>
      <c r="AI231" s="75"/>
      <c r="AJ231" s="75"/>
      <c r="AK231" s="75"/>
      <c r="AL231" s="75"/>
      <c r="AM231" s="75"/>
      <c r="AN231" s="75"/>
      <c r="AO231" s="284">
        <f t="shared" si="16"/>
        <v>1</v>
      </c>
      <c r="AP231" s="592"/>
      <c r="AR231" s="409" t="s">
        <v>115</v>
      </c>
    </row>
    <row r="232" spans="2:44" s="83" customFormat="1" ht="16.5" thickBot="1">
      <c r="B232" s="82" t="s">
        <v>88</v>
      </c>
      <c r="C232" s="496">
        <v>44754</v>
      </c>
      <c r="D232" s="497">
        <v>6</v>
      </c>
      <c r="E232" s="498" t="s">
        <v>155</v>
      </c>
      <c r="F232" s="497" t="s">
        <v>158</v>
      </c>
      <c r="G232" s="498" t="s">
        <v>154</v>
      </c>
      <c r="H232" s="497">
        <v>44</v>
      </c>
      <c r="I232" s="41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>
        <v>1</v>
      </c>
      <c r="AC232" s="75"/>
      <c r="AD232" s="75"/>
      <c r="AE232" s="166"/>
      <c r="AF232" s="166"/>
      <c r="AG232" s="166"/>
      <c r="AH232" s="166"/>
      <c r="AI232" s="166"/>
      <c r="AJ232" s="166"/>
      <c r="AK232" s="75"/>
      <c r="AL232" s="75"/>
      <c r="AM232" s="75"/>
      <c r="AN232" s="75"/>
      <c r="AO232" s="284">
        <f t="shared" si="16"/>
        <v>1</v>
      </c>
      <c r="AP232" s="593"/>
      <c r="AR232" s="409" t="s">
        <v>115</v>
      </c>
    </row>
    <row r="233" spans="2:44" s="83" customFormat="1">
      <c r="B233" s="82" t="s">
        <v>88</v>
      </c>
      <c r="C233" s="499">
        <v>44755</v>
      </c>
      <c r="D233" s="410">
        <v>6</v>
      </c>
      <c r="E233" s="410" t="s">
        <v>156</v>
      </c>
      <c r="F233" s="500" t="s">
        <v>142</v>
      </c>
      <c r="G233" s="500" t="s">
        <v>157</v>
      </c>
      <c r="H233" s="410">
        <v>39</v>
      </c>
      <c r="I233" s="410"/>
      <c r="J233" s="80"/>
      <c r="K233" s="80"/>
      <c r="L233" s="80"/>
      <c r="M233" s="80"/>
      <c r="N233" s="80"/>
      <c r="O233" s="80">
        <v>1.5</v>
      </c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  <c r="AC233" s="75"/>
      <c r="AD233" s="75"/>
      <c r="AE233" s="166"/>
      <c r="AF233" s="166"/>
      <c r="AG233" s="166"/>
      <c r="AH233" s="166"/>
      <c r="AI233" s="166"/>
      <c r="AJ233" s="166"/>
      <c r="AK233" s="75"/>
      <c r="AL233" s="75"/>
      <c r="AM233" s="75"/>
      <c r="AN233" s="75"/>
      <c r="AO233" s="284">
        <f t="shared" si="16"/>
        <v>1.5</v>
      </c>
      <c r="AP233" s="591">
        <f>SUM(AO233:AO243)</f>
        <v>11.5</v>
      </c>
      <c r="AR233" s="409"/>
    </row>
    <row r="234" spans="2:44" s="83" customFormat="1">
      <c r="B234" s="82" t="s">
        <v>88</v>
      </c>
      <c r="C234" s="499">
        <v>44755</v>
      </c>
      <c r="D234" s="410">
        <v>6</v>
      </c>
      <c r="E234" s="410" t="s">
        <v>156</v>
      </c>
      <c r="F234" s="500" t="s">
        <v>142</v>
      </c>
      <c r="G234" s="500" t="s">
        <v>157</v>
      </c>
      <c r="H234" s="410">
        <v>40</v>
      </c>
      <c r="I234" s="410"/>
      <c r="J234" s="80"/>
      <c r="K234" s="80"/>
      <c r="L234" s="80"/>
      <c r="M234" s="80"/>
      <c r="N234" s="80"/>
      <c r="O234" s="80">
        <v>1</v>
      </c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  <c r="AC234" s="75"/>
      <c r="AD234" s="75"/>
      <c r="AE234" s="166"/>
      <c r="AF234" s="166"/>
      <c r="AG234" s="166"/>
      <c r="AH234" s="166"/>
      <c r="AI234" s="75"/>
      <c r="AJ234" s="75"/>
      <c r="AK234" s="75"/>
      <c r="AL234" s="75"/>
      <c r="AM234" s="75"/>
      <c r="AN234" s="75"/>
      <c r="AO234" s="284">
        <f t="shared" si="16"/>
        <v>1</v>
      </c>
      <c r="AP234" s="592"/>
      <c r="AR234" s="409"/>
    </row>
    <row r="235" spans="2:44" s="83" customFormat="1">
      <c r="B235" s="82" t="s">
        <v>88</v>
      </c>
      <c r="C235" s="499">
        <v>44755</v>
      </c>
      <c r="D235" s="410">
        <v>6</v>
      </c>
      <c r="E235" s="80" t="s">
        <v>155</v>
      </c>
      <c r="F235" s="81" t="s">
        <v>158</v>
      </c>
      <c r="G235" s="81" t="s">
        <v>154</v>
      </c>
      <c r="H235" s="80">
        <v>38</v>
      </c>
      <c r="I235" s="80"/>
      <c r="J235" s="80"/>
      <c r="K235" s="80"/>
      <c r="L235" s="80"/>
      <c r="M235" s="80"/>
      <c r="N235" s="80"/>
      <c r="O235" s="80">
        <v>0.5</v>
      </c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  <c r="AC235" s="75"/>
      <c r="AD235" s="75"/>
      <c r="AE235" s="166"/>
      <c r="AF235" s="166"/>
      <c r="AG235" s="166"/>
      <c r="AH235" s="166"/>
      <c r="AI235" s="75"/>
      <c r="AJ235" s="75"/>
      <c r="AK235" s="75"/>
      <c r="AL235" s="75"/>
      <c r="AM235" s="75"/>
      <c r="AN235" s="75"/>
      <c r="AO235" s="284">
        <f t="shared" si="16"/>
        <v>0.5</v>
      </c>
      <c r="AP235" s="592"/>
      <c r="AR235" s="409"/>
    </row>
    <row r="236" spans="2:44" s="83" customFormat="1">
      <c r="B236" s="82" t="s">
        <v>88</v>
      </c>
      <c r="C236" s="499">
        <v>44755</v>
      </c>
      <c r="D236" s="410">
        <v>6</v>
      </c>
      <c r="E236" s="80" t="s">
        <v>155</v>
      </c>
      <c r="F236" s="81" t="s">
        <v>158</v>
      </c>
      <c r="G236" s="81" t="s">
        <v>154</v>
      </c>
      <c r="H236" s="80">
        <v>39</v>
      </c>
      <c r="I236" s="80"/>
      <c r="J236" s="80"/>
      <c r="K236" s="80"/>
      <c r="L236" s="80"/>
      <c r="M236" s="80"/>
      <c r="N236" s="80"/>
      <c r="O236" s="80">
        <v>0.5</v>
      </c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75"/>
      <c r="AD236" s="75"/>
      <c r="AE236" s="166"/>
      <c r="AF236" s="166"/>
      <c r="AG236" s="166"/>
      <c r="AH236" s="166"/>
      <c r="AI236" s="75"/>
      <c r="AJ236" s="75"/>
      <c r="AK236" s="75"/>
      <c r="AL236" s="75"/>
      <c r="AM236" s="75"/>
      <c r="AN236" s="75"/>
      <c r="AO236" s="284">
        <f t="shared" si="16"/>
        <v>0.5</v>
      </c>
      <c r="AP236" s="592"/>
      <c r="AR236" s="409"/>
    </row>
    <row r="237" spans="2:44" s="83" customFormat="1">
      <c r="B237" s="82" t="s">
        <v>88</v>
      </c>
      <c r="C237" s="499">
        <v>44755</v>
      </c>
      <c r="D237" s="410">
        <v>6</v>
      </c>
      <c r="E237" s="80" t="s">
        <v>155</v>
      </c>
      <c r="F237" s="81" t="s">
        <v>158</v>
      </c>
      <c r="G237" s="81" t="s">
        <v>154</v>
      </c>
      <c r="H237" s="80">
        <v>40</v>
      </c>
      <c r="I237" s="80"/>
      <c r="J237" s="80"/>
      <c r="K237" s="80"/>
      <c r="L237" s="80"/>
      <c r="M237" s="80"/>
      <c r="N237" s="80"/>
      <c r="O237" s="80">
        <v>1.5</v>
      </c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  <c r="AC237" s="75"/>
      <c r="AD237" s="75"/>
      <c r="AE237" s="166"/>
      <c r="AF237" s="166"/>
      <c r="AG237" s="166"/>
      <c r="AH237" s="166"/>
      <c r="AI237" s="75"/>
      <c r="AJ237" s="75"/>
      <c r="AK237" s="75"/>
      <c r="AL237" s="75"/>
      <c r="AM237" s="75"/>
      <c r="AN237" s="75"/>
      <c r="AO237" s="284">
        <f t="shared" si="16"/>
        <v>1.5</v>
      </c>
      <c r="AP237" s="592"/>
      <c r="AR237" s="409"/>
    </row>
    <row r="238" spans="2:44" s="83" customFormat="1">
      <c r="B238" s="82" t="s">
        <v>88</v>
      </c>
      <c r="C238" s="499">
        <v>44755</v>
      </c>
      <c r="D238" s="410">
        <v>6</v>
      </c>
      <c r="E238" s="80" t="s">
        <v>155</v>
      </c>
      <c r="F238" s="81" t="s">
        <v>158</v>
      </c>
      <c r="G238" s="81" t="s">
        <v>154</v>
      </c>
      <c r="H238" s="80">
        <v>41</v>
      </c>
      <c r="I238" s="80"/>
      <c r="J238" s="80"/>
      <c r="K238" s="80"/>
      <c r="L238" s="80"/>
      <c r="M238" s="80"/>
      <c r="N238" s="80"/>
      <c r="O238" s="80">
        <v>1.5</v>
      </c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  <c r="AC238" s="75"/>
      <c r="AD238" s="75"/>
      <c r="AE238" s="166"/>
      <c r="AF238" s="166"/>
      <c r="AG238" s="166"/>
      <c r="AH238" s="166"/>
      <c r="AI238" s="75"/>
      <c r="AJ238" s="75"/>
      <c r="AK238" s="75"/>
      <c r="AL238" s="75"/>
      <c r="AM238" s="75"/>
      <c r="AN238" s="166"/>
      <c r="AO238" s="284">
        <f t="shared" si="16"/>
        <v>1.5</v>
      </c>
      <c r="AP238" s="592"/>
      <c r="AR238" s="409"/>
    </row>
    <row r="239" spans="2:44" s="83" customFormat="1">
      <c r="B239" s="82" t="s">
        <v>88</v>
      </c>
      <c r="C239" s="499">
        <v>44755</v>
      </c>
      <c r="D239" s="410">
        <v>6</v>
      </c>
      <c r="E239" s="80" t="s">
        <v>155</v>
      </c>
      <c r="F239" s="81" t="s">
        <v>158</v>
      </c>
      <c r="G239" s="81" t="s">
        <v>154</v>
      </c>
      <c r="H239" s="80">
        <v>42</v>
      </c>
      <c r="I239" s="80"/>
      <c r="J239" s="80"/>
      <c r="K239" s="80"/>
      <c r="L239" s="80"/>
      <c r="M239" s="80"/>
      <c r="N239" s="80"/>
      <c r="O239" s="80">
        <v>1</v>
      </c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  <c r="AC239" s="75"/>
      <c r="AD239" s="75"/>
      <c r="AE239" s="166"/>
      <c r="AF239" s="166"/>
      <c r="AG239" s="166"/>
      <c r="AH239" s="166"/>
      <c r="AI239" s="75"/>
      <c r="AJ239" s="75"/>
      <c r="AK239" s="166"/>
      <c r="AL239" s="166"/>
      <c r="AM239" s="166"/>
      <c r="AN239" s="75"/>
      <c r="AO239" s="284">
        <f t="shared" si="16"/>
        <v>1</v>
      </c>
      <c r="AP239" s="592"/>
      <c r="AR239" s="409"/>
    </row>
    <row r="240" spans="2:44" s="83" customFormat="1">
      <c r="B240" s="82" t="s">
        <v>88</v>
      </c>
      <c r="C240" s="499">
        <v>44755</v>
      </c>
      <c r="D240" s="410">
        <v>6</v>
      </c>
      <c r="E240" s="80" t="s">
        <v>155</v>
      </c>
      <c r="F240" s="81" t="s">
        <v>158</v>
      </c>
      <c r="G240" s="81" t="s">
        <v>154</v>
      </c>
      <c r="H240" s="80">
        <v>43</v>
      </c>
      <c r="I240" s="80"/>
      <c r="J240" s="80"/>
      <c r="K240" s="80"/>
      <c r="L240" s="80"/>
      <c r="M240" s="80"/>
      <c r="N240" s="80"/>
      <c r="O240" s="80">
        <v>0.5</v>
      </c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  <c r="AC240" s="75"/>
      <c r="AD240" s="75"/>
      <c r="AE240" s="166"/>
      <c r="AF240" s="166"/>
      <c r="AG240" s="166"/>
      <c r="AH240" s="166"/>
      <c r="AI240" s="75"/>
      <c r="AJ240" s="75"/>
      <c r="AK240" s="75"/>
      <c r="AL240" s="75"/>
      <c r="AM240" s="75"/>
      <c r="AN240" s="75"/>
      <c r="AO240" s="284">
        <f>SUM(I240:AN240)</f>
        <v>0.5</v>
      </c>
      <c r="AP240" s="592"/>
      <c r="AR240" s="409"/>
    </row>
    <row r="241" spans="2:44" s="83" customFormat="1">
      <c r="B241" s="82" t="s">
        <v>88</v>
      </c>
      <c r="C241" s="499">
        <v>44755</v>
      </c>
      <c r="D241" s="410">
        <v>6</v>
      </c>
      <c r="E241" s="80" t="s">
        <v>155</v>
      </c>
      <c r="F241" s="81" t="s">
        <v>158</v>
      </c>
      <c r="G241" s="81" t="s">
        <v>154</v>
      </c>
      <c r="H241" s="80">
        <v>44</v>
      </c>
      <c r="I241" s="80"/>
      <c r="J241" s="80"/>
      <c r="K241" s="80"/>
      <c r="L241" s="80"/>
      <c r="M241" s="80"/>
      <c r="N241" s="80"/>
      <c r="O241" s="80">
        <v>2</v>
      </c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  <c r="AC241" s="166"/>
      <c r="AD241" s="75"/>
      <c r="AE241" s="166"/>
      <c r="AF241" s="166"/>
      <c r="AG241" s="166"/>
      <c r="AH241" s="166"/>
      <c r="AI241" s="75"/>
      <c r="AJ241" s="75"/>
      <c r="AK241" s="75"/>
      <c r="AL241" s="75"/>
      <c r="AM241" s="75"/>
      <c r="AN241" s="75"/>
      <c r="AO241" s="284">
        <f t="shared" si="16"/>
        <v>2</v>
      </c>
      <c r="AP241" s="592"/>
      <c r="AR241" s="409"/>
    </row>
    <row r="242" spans="2:44" s="83" customFormat="1">
      <c r="B242" s="82" t="s">
        <v>88</v>
      </c>
      <c r="C242" s="499">
        <v>44755</v>
      </c>
      <c r="D242" s="410">
        <v>6</v>
      </c>
      <c r="E242" s="80" t="s">
        <v>155</v>
      </c>
      <c r="F242" s="81" t="s">
        <v>158</v>
      </c>
      <c r="G242" s="81" t="s">
        <v>154</v>
      </c>
      <c r="H242" s="80">
        <v>45</v>
      </c>
      <c r="I242" s="80"/>
      <c r="J242" s="80"/>
      <c r="K242" s="80"/>
      <c r="L242" s="80"/>
      <c r="M242" s="80"/>
      <c r="N242" s="80"/>
      <c r="O242" s="80">
        <v>1</v>
      </c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  <c r="AC242" s="75"/>
      <c r="AD242" s="75"/>
      <c r="AE242" s="166"/>
      <c r="AF242" s="166"/>
      <c r="AG242" s="166"/>
      <c r="AH242" s="166"/>
      <c r="AI242" s="75"/>
      <c r="AJ242" s="75"/>
      <c r="AK242" s="75"/>
      <c r="AL242" s="75"/>
      <c r="AM242" s="75"/>
      <c r="AN242" s="75"/>
      <c r="AO242" s="284">
        <f t="shared" si="16"/>
        <v>1</v>
      </c>
      <c r="AP242" s="592"/>
      <c r="AR242" s="409"/>
    </row>
    <row r="243" spans="2:44" s="83" customFormat="1" ht="16.5" thickBot="1">
      <c r="B243" s="82" t="s">
        <v>88</v>
      </c>
      <c r="C243" s="496">
        <v>44755</v>
      </c>
      <c r="D243" s="498">
        <v>6</v>
      </c>
      <c r="E243" s="497" t="s">
        <v>155</v>
      </c>
      <c r="F243" s="498" t="s">
        <v>158</v>
      </c>
      <c r="G243" s="498" t="s">
        <v>154</v>
      </c>
      <c r="H243" s="497">
        <v>44</v>
      </c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>
        <v>0.5</v>
      </c>
      <c r="AC243" s="75"/>
      <c r="AD243" s="75"/>
      <c r="AE243" s="166"/>
      <c r="AF243" s="166"/>
      <c r="AG243" s="166"/>
      <c r="AH243" s="166"/>
      <c r="AI243" s="75"/>
      <c r="AJ243" s="166"/>
      <c r="AK243" s="75"/>
      <c r="AL243" s="75"/>
      <c r="AM243" s="75"/>
      <c r="AN243" s="75"/>
      <c r="AO243" s="284">
        <f t="shared" si="16"/>
        <v>0.5</v>
      </c>
      <c r="AP243" s="593"/>
      <c r="AR243" s="409" t="s">
        <v>115</v>
      </c>
    </row>
    <row r="244" spans="2:44" s="83" customFormat="1">
      <c r="B244" s="82" t="s">
        <v>88</v>
      </c>
      <c r="C244" s="82">
        <v>44756</v>
      </c>
      <c r="D244" s="81">
        <v>6</v>
      </c>
      <c r="E244" s="80" t="s">
        <v>156</v>
      </c>
      <c r="F244" s="81" t="s">
        <v>158</v>
      </c>
      <c r="G244" s="81" t="s">
        <v>157</v>
      </c>
      <c r="H244" s="80">
        <v>37</v>
      </c>
      <c r="I244" s="80"/>
      <c r="J244" s="80"/>
      <c r="K244" s="80"/>
      <c r="L244" s="80"/>
      <c r="M244" s="80"/>
      <c r="N244" s="80"/>
      <c r="O244" s="80"/>
      <c r="P244" s="80">
        <v>0.5</v>
      </c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  <c r="AC244" s="75"/>
      <c r="AD244" s="75"/>
      <c r="AE244" s="75"/>
      <c r="AF244" s="75"/>
      <c r="AG244" s="75"/>
      <c r="AH244" s="75"/>
      <c r="AI244" s="75"/>
      <c r="AJ244" s="75"/>
      <c r="AK244" s="75"/>
      <c r="AL244" s="75"/>
      <c r="AM244" s="75"/>
      <c r="AN244" s="75"/>
      <c r="AO244" s="284">
        <f t="shared" si="16"/>
        <v>0.5</v>
      </c>
      <c r="AP244" s="591">
        <f>SUM(AO244:AO250)</f>
        <v>4.5</v>
      </c>
      <c r="AR244" s="409"/>
    </row>
    <row r="245" spans="2:44" s="83" customFormat="1">
      <c r="B245" s="82" t="s">
        <v>88</v>
      </c>
      <c r="C245" s="82">
        <v>44756</v>
      </c>
      <c r="D245" s="81">
        <v>6</v>
      </c>
      <c r="E245" s="80" t="s">
        <v>156</v>
      </c>
      <c r="F245" s="81" t="s">
        <v>158</v>
      </c>
      <c r="G245" s="81" t="s">
        <v>157</v>
      </c>
      <c r="H245" s="80">
        <v>39</v>
      </c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>
        <v>0.5</v>
      </c>
      <c r="T245" s="80"/>
      <c r="U245" s="80"/>
      <c r="V245" s="80"/>
      <c r="W245" s="80"/>
      <c r="X245" s="80"/>
      <c r="Y245" s="80"/>
      <c r="Z245" s="80"/>
      <c r="AA245" s="80"/>
      <c r="AB245" s="80"/>
      <c r="AC245" s="75"/>
      <c r="AD245" s="75"/>
      <c r="AE245" s="75"/>
      <c r="AF245" s="75"/>
      <c r="AG245" s="166"/>
      <c r="AH245" s="75"/>
      <c r="AI245" s="75"/>
      <c r="AJ245" s="75"/>
      <c r="AK245" s="75"/>
      <c r="AL245" s="75"/>
      <c r="AM245" s="75"/>
      <c r="AN245" s="75"/>
      <c r="AO245" s="284">
        <f t="shared" si="16"/>
        <v>0.5</v>
      </c>
      <c r="AP245" s="592"/>
      <c r="AR245" s="409"/>
    </row>
    <row r="246" spans="2:44" s="83" customFormat="1">
      <c r="B246" s="82" t="s">
        <v>88</v>
      </c>
      <c r="C246" s="82">
        <v>44756</v>
      </c>
      <c r="D246" s="81">
        <v>6</v>
      </c>
      <c r="E246" s="80" t="s">
        <v>155</v>
      </c>
      <c r="F246" s="81" t="s">
        <v>158</v>
      </c>
      <c r="G246" s="81" t="s">
        <v>154</v>
      </c>
      <c r="H246" s="80">
        <v>42</v>
      </c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>
        <v>1</v>
      </c>
      <c r="V246" s="80"/>
      <c r="W246" s="80"/>
      <c r="X246" s="80"/>
      <c r="Y246" s="80"/>
      <c r="Z246" s="80"/>
      <c r="AA246" s="80"/>
      <c r="AB246" s="80"/>
      <c r="AC246" s="75"/>
      <c r="AD246" s="75"/>
      <c r="AE246" s="75"/>
      <c r="AF246" s="75"/>
      <c r="AG246" s="166"/>
      <c r="AH246" s="75"/>
      <c r="AI246" s="75"/>
      <c r="AJ246" s="75"/>
      <c r="AK246" s="75"/>
      <c r="AL246" s="75"/>
      <c r="AM246" s="75"/>
      <c r="AN246" s="75"/>
      <c r="AO246" s="284">
        <f t="shared" si="16"/>
        <v>1</v>
      </c>
      <c r="AP246" s="592"/>
      <c r="AR246" s="409"/>
    </row>
    <row r="247" spans="2:44" s="83" customFormat="1">
      <c r="B247" s="82" t="s">
        <v>88</v>
      </c>
      <c r="C247" s="513">
        <v>44756</v>
      </c>
      <c r="D247" s="498">
        <v>6</v>
      </c>
      <c r="E247" s="497" t="s">
        <v>155</v>
      </c>
      <c r="F247" s="498" t="s">
        <v>158</v>
      </c>
      <c r="G247" s="498" t="s">
        <v>154</v>
      </c>
      <c r="H247" s="497">
        <v>39</v>
      </c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>
        <v>0.5</v>
      </c>
      <c r="T247" s="80"/>
      <c r="U247" s="80"/>
      <c r="V247" s="80"/>
      <c r="W247" s="80"/>
      <c r="X247" s="80"/>
      <c r="Y247" s="80"/>
      <c r="Z247" s="80"/>
      <c r="AA247" s="80"/>
      <c r="AB247" s="80"/>
      <c r="AC247" s="75"/>
      <c r="AD247" s="75"/>
      <c r="AE247" s="75"/>
      <c r="AF247" s="75"/>
      <c r="AG247" s="75"/>
      <c r="AH247" s="75"/>
      <c r="AI247" s="75"/>
      <c r="AJ247" s="75"/>
      <c r="AK247" s="75"/>
      <c r="AL247" s="75"/>
      <c r="AM247" s="75"/>
      <c r="AN247" s="75"/>
      <c r="AO247" s="284">
        <f t="shared" si="16"/>
        <v>0.5</v>
      </c>
      <c r="AP247" s="592"/>
      <c r="AR247" s="409" t="s">
        <v>115</v>
      </c>
    </row>
    <row r="248" spans="2:44" s="83" customFormat="1">
      <c r="B248" s="82" t="s">
        <v>88</v>
      </c>
      <c r="C248" s="513">
        <v>44756</v>
      </c>
      <c r="D248" s="498">
        <v>6</v>
      </c>
      <c r="E248" s="497" t="s">
        <v>155</v>
      </c>
      <c r="F248" s="498" t="s">
        <v>158</v>
      </c>
      <c r="G248" s="498" t="s">
        <v>154</v>
      </c>
      <c r="H248" s="497">
        <v>41</v>
      </c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>
        <v>0.5</v>
      </c>
      <c r="AC248" s="75"/>
      <c r="AD248" s="75"/>
      <c r="AE248" s="75"/>
      <c r="AF248" s="75"/>
      <c r="AG248" s="166"/>
      <c r="AH248" s="75"/>
      <c r="AI248" s="75"/>
      <c r="AJ248" s="75"/>
      <c r="AK248" s="75"/>
      <c r="AL248" s="75"/>
      <c r="AM248" s="75"/>
      <c r="AN248" s="75"/>
      <c r="AO248" s="284">
        <f t="shared" si="16"/>
        <v>0.5</v>
      </c>
      <c r="AP248" s="592"/>
      <c r="AR248" s="409" t="s">
        <v>115</v>
      </c>
    </row>
    <row r="249" spans="2:44" s="83" customFormat="1">
      <c r="B249" s="82" t="s">
        <v>88</v>
      </c>
      <c r="C249" s="513">
        <v>44756</v>
      </c>
      <c r="D249" s="498">
        <v>6</v>
      </c>
      <c r="E249" s="497" t="s">
        <v>155</v>
      </c>
      <c r="F249" s="498" t="s">
        <v>158</v>
      </c>
      <c r="G249" s="498" t="s">
        <v>154</v>
      </c>
      <c r="H249" s="497">
        <v>44</v>
      </c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>
        <v>0.5</v>
      </c>
      <c r="T249" s="80"/>
      <c r="U249" s="80"/>
      <c r="V249" s="80"/>
      <c r="W249" s="80"/>
      <c r="X249" s="80"/>
      <c r="Y249" s="80"/>
      <c r="Z249" s="80"/>
      <c r="AA249" s="80"/>
      <c r="AB249" s="80"/>
      <c r="AC249" s="75"/>
      <c r="AD249" s="75"/>
      <c r="AE249" s="75"/>
      <c r="AF249" s="75"/>
      <c r="AG249" s="166"/>
      <c r="AH249" s="75"/>
      <c r="AI249" s="75"/>
      <c r="AJ249" s="75"/>
      <c r="AK249" s="75"/>
      <c r="AL249" s="75"/>
      <c r="AM249" s="75"/>
      <c r="AN249" s="75"/>
      <c r="AO249" s="284">
        <f t="shared" si="16"/>
        <v>0.5</v>
      </c>
      <c r="AP249" s="592"/>
      <c r="AR249" s="409" t="s">
        <v>115</v>
      </c>
    </row>
    <row r="250" spans="2:44" s="83" customFormat="1" ht="16.5" thickBot="1">
      <c r="B250" s="82" t="s">
        <v>88</v>
      </c>
      <c r="C250" s="513">
        <v>44756</v>
      </c>
      <c r="D250" s="498">
        <v>6</v>
      </c>
      <c r="E250" s="498" t="s">
        <v>155</v>
      </c>
      <c r="F250" s="498" t="s">
        <v>158</v>
      </c>
      <c r="G250" s="498" t="s">
        <v>159</v>
      </c>
      <c r="H250" s="497">
        <v>44</v>
      </c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>
        <v>1</v>
      </c>
      <c r="T250" s="80"/>
      <c r="U250" s="80"/>
      <c r="V250" s="80"/>
      <c r="W250" s="80"/>
      <c r="X250" s="80"/>
      <c r="Y250" s="80"/>
      <c r="Z250" s="80"/>
      <c r="AA250" s="80"/>
      <c r="AB250" s="80"/>
      <c r="AC250" s="75"/>
      <c r="AD250" s="75"/>
      <c r="AE250" s="75"/>
      <c r="AF250" s="75"/>
      <c r="AG250" s="75"/>
      <c r="AH250" s="166"/>
      <c r="AI250" s="75"/>
      <c r="AJ250" s="75"/>
      <c r="AK250" s="75"/>
      <c r="AL250" s="75"/>
      <c r="AM250" s="75"/>
      <c r="AN250" s="75"/>
      <c r="AO250" s="284">
        <f t="shared" si="16"/>
        <v>1</v>
      </c>
      <c r="AP250" s="593"/>
      <c r="AR250" s="409" t="s">
        <v>115</v>
      </c>
    </row>
    <row r="251" spans="2:44" s="83" customFormat="1">
      <c r="B251" s="82" t="s">
        <v>88</v>
      </c>
      <c r="C251" s="82"/>
      <c r="D251" s="81"/>
      <c r="E251" s="81"/>
      <c r="F251" s="81"/>
      <c r="G251" s="81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  <c r="AC251" s="75"/>
      <c r="AD251" s="166"/>
      <c r="AE251" s="75"/>
      <c r="AF251" s="75"/>
      <c r="AG251" s="75"/>
      <c r="AH251" s="75"/>
      <c r="AI251" s="75"/>
      <c r="AJ251" s="75"/>
      <c r="AK251" s="75"/>
      <c r="AL251" s="75"/>
      <c r="AM251" s="75"/>
      <c r="AN251" s="75"/>
      <c r="AO251" s="284">
        <f t="shared" si="16"/>
        <v>0</v>
      </c>
      <c r="AP251" s="489"/>
      <c r="AR251" s="409"/>
    </row>
    <row r="252" spans="2:44" s="83" customFormat="1">
      <c r="B252" s="82" t="s">
        <v>88</v>
      </c>
      <c r="C252" s="82"/>
      <c r="D252" s="81"/>
      <c r="E252" s="81"/>
      <c r="F252" s="81"/>
      <c r="G252" s="81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  <c r="AC252" s="75"/>
      <c r="AD252" s="75"/>
      <c r="AE252" s="75"/>
      <c r="AF252" s="75"/>
      <c r="AG252" s="75"/>
      <c r="AH252" s="166"/>
      <c r="AI252" s="75"/>
      <c r="AJ252" s="75"/>
      <c r="AK252" s="166"/>
      <c r="AL252" s="166"/>
      <c r="AM252" s="166"/>
      <c r="AN252" s="75"/>
      <c r="AO252" s="284">
        <f t="shared" si="16"/>
        <v>0</v>
      </c>
      <c r="AP252" s="489"/>
      <c r="AR252" s="409"/>
    </row>
    <row r="253" spans="2:44" s="83" customFormat="1">
      <c r="B253" s="82" t="s">
        <v>88</v>
      </c>
      <c r="C253" s="82"/>
      <c r="D253" s="81"/>
      <c r="E253" s="81"/>
      <c r="F253" s="81"/>
      <c r="G253" s="81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  <c r="AC253" s="75"/>
      <c r="AD253" s="75"/>
      <c r="AE253" s="75"/>
      <c r="AF253" s="75"/>
      <c r="AG253" s="75"/>
      <c r="AH253" s="75"/>
      <c r="AI253" s="75"/>
      <c r="AJ253" s="75"/>
      <c r="AK253" s="166"/>
      <c r="AL253" s="166"/>
      <c r="AM253" s="166"/>
      <c r="AN253" s="75"/>
      <c r="AO253" s="284">
        <f t="shared" si="16"/>
        <v>0</v>
      </c>
      <c r="AP253" s="489"/>
      <c r="AR253" s="409"/>
    </row>
    <row r="254" spans="2:44" s="83" customFormat="1">
      <c r="B254" s="82" t="s">
        <v>88</v>
      </c>
      <c r="C254" s="82"/>
      <c r="D254" s="81"/>
      <c r="E254" s="81"/>
      <c r="F254" s="81"/>
      <c r="G254" s="81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  <c r="AC254" s="75"/>
      <c r="AD254" s="75"/>
      <c r="AE254" s="75"/>
      <c r="AF254" s="75"/>
      <c r="AG254" s="75"/>
      <c r="AH254" s="75"/>
      <c r="AI254" s="75"/>
      <c r="AJ254" s="75"/>
      <c r="AK254" s="75"/>
      <c r="AL254" s="75"/>
      <c r="AM254" s="75"/>
      <c r="AN254" s="75"/>
      <c r="AO254" s="284">
        <f t="shared" si="16"/>
        <v>0</v>
      </c>
      <c r="AP254" s="489"/>
      <c r="AR254" s="409"/>
    </row>
    <row r="255" spans="2:44" s="83" customFormat="1">
      <c r="B255" s="82" t="s">
        <v>88</v>
      </c>
      <c r="C255" s="82"/>
      <c r="D255" s="81"/>
      <c r="E255" s="81"/>
      <c r="F255" s="81"/>
      <c r="G255" s="81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  <c r="AC255" s="75"/>
      <c r="AD255" s="75"/>
      <c r="AE255" s="75"/>
      <c r="AF255" s="75"/>
      <c r="AG255" s="75"/>
      <c r="AH255" s="75"/>
      <c r="AI255" s="75"/>
      <c r="AJ255" s="75"/>
      <c r="AK255" s="75"/>
      <c r="AL255" s="75"/>
      <c r="AM255" s="75"/>
      <c r="AN255" s="75"/>
      <c r="AO255" s="284">
        <f t="shared" si="16"/>
        <v>0</v>
      </c>
      <c r="AP255" s="489"/>
      <c r="AR255" s="409"/>
    </row>
    <row r="256" spans="2:44" s="83" customFormat="1">
      <c r="B256" s="82" t="s">
        <v>88</v>
      </c>
      <c r="C256" s="82"/>
      <c r="D256" s="81"/>
      <c r="E256" s="81"/>
      <c r="F256" s="81"/>
      <c r="G256" s="81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  <c r="AC256" s="75"/>
      <c r="AD256" s="75"/>
      <c r="AE256" s="75"/>
      <c r="AF256" s="75"/>
      <c r="AG256" s="75"/>
      <c r="AH256" s="75"/>
      <c r="AI256" s="75"/>
      <c r="AJ256" s="75"/>
      <c r="AK256" s="75"/>
      <c r="AL256" s="75"/>
      <c r="AM256" s="75"/>
      <c r="AN256" s="75"/>
      <c r="AO256" s="284">
        <f t="shared" si="16"/>
        <v>0</v>
      </c>
      <c r="AP256" s="489"/>
      <c r="AR256" s="409"/>
    </row>
    <row r="257" spans="2:44" s="83" customFormat="1">
      <c r="B257" s="82" t="s">
        <v>88</v>
      </c>
      <c r="C257" s="82"/>
      <c r="D257" s="81"/>
      <c r="E257" s="81"/>
      <c r="F257" s="81"/>
      <c r="G257" s="81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  <c r="AC257" s="75"/>
      <c r="AD257" s="75"/>
      <c r="AE257" s="75"/>
      <c r="AF257" s="75"/>
      <c r="AG257" s="75"/>
      <c r="AH257" s="75"/>
      <c r="AI257" s="75"/>
      <c r="AJ257" s="75"/>
      <c r="AK257" s="75"/>
      <c r="AL257" s="75"/>
      <c r="AM257" s="75"/>
      <c r="AN257" s="75"/>
      <c r="AO257" s="284">
        <f t="shared" ref="AO257:AO288" si="17">SUM(I257:AN257)</f>
        <v>0</v>
      </c>
      <c r="AP257" s="489"/>
      <c r="AR257" s="409"/>
    </row>
    <row r="258" spans="2:44" s="83" customFormat="1">
      <c r="B258" s="82" t="s">
        <v>88</v>
      </c>
      <c r="C258" s="82"/>
      <c r="D258" s="81"/>
      <c r="E258" s="81"/>
      <c r="F258" s="81"/>
      <c r="G258" s="81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  <c r="AC258" s="75"/>
      <c r="AD258" s="75"/>
      <c r="AE258" s="75"/>
      <c r="AF258" s="75"/>
      <c r="AG258" s="75"/>
      <c r="AH258" s="75"/>
      <c r="AI258" s="75"/>
      <c r="AJ258" s="75"/>
      <c r="AK258" s="75"/>
      <c r="AL258" s="75"/>
      <c r="AM258" s="75"/>
      <c r="AN258" s="75"/>
      <c r="AO258" s="284">
        <f t="shared" si="17"/>
        <v>0</v>
      </c>
      <c r="AP258" s="489"/>
      <c r="AR258" s="409"/>
    </row>
    <row r="259" spans="2:44" s="83" customFormat="1">
      <c r="B259" s="82" t="s">
        <v>88</v>
      </c>
      <c r="C259" s="82"/>
      <c r="D259" s="81"/>
      <c r="E259" s="81"/>
      <c r="F259" s="81"/>
      <c r="G259" s="81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  <c r="AC259" s="75"/>
      <c r="AD259" s="75"/>
      <c r="AE259" s="75"/>
      <c r="AF259" s="75"/>
      <c r="AG259" s="75"/>
      <c r="AH259" s="75"/>
      <c r="AI259" s="75"/>
      <c r="AJ259" s="75"/>
      <c r="AK259" s="75"/>
      <c r="AL259" s="75"/>
      <c r="AM259" s="75"/>
      <c r="AN259" s="75"/>
      <c r="AO259" s="284">
        <f t="shared" si="17"/>
        <v>0</v>
      </c>
      <c r="AP259" s="489"/>
      <c r="AR259" s="409"/>
    </row>
    <row r="260" spans="2:44" s="83" customFormat="1">
      <c r="B260" s="82" t="s">
        <v>88</v>
      </c>
      <c r="C260" s="82"/>
      <c r="D260" s="81"/>
      <c r="E260" s="81"/>
      <c r="F260" s="81"/>
      <c r="G260" s="81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  <c r="AC260" s="75"/>
      <c r="AD260" s="75"/>
      <c r="AE260" s="75"/>
      <c r="AF260" s="75"/>
      <c r="AG260" s="75"/>
      <c r="AH260" s="75"/>
      <c r="AI260" s="75"/>
      <c r="AJ260" s="75"/>
      <c r="AK260" s="75"/>
      <c r="AL260" s="75"/>
      <c r="AM260" s="75"/>
      <c r="AN260" s="75"/>
      <c r="AO260" s="284">
        <f t="shared" si="17"/>
        <v>0</v>
      </c>
      <c r="AP260" s="489"/>
      <c r="AR260" s="409"/>
    </row>
    <row r="261" spans="2:44" s="83" customFormat="1" ht="16.5" thickBot="1">
      <c r="B261" s="82" t="s">
        <v>88</v>
      </c>
      <c r="C261" s="82"/>
      <c r="D261" s="81"/>
      <c r="E261" s="81"/>
      <c r="F261" s="81"/>
      <c r="G261" s="81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  <c r="AC261" s="75"/>
      <c r="AD261" s="75"/>
      <c r="AE261" s="75"/>
      <c r="AF261" s="75"/>
      <c r="AG261" s="75"/>
      <c r="AH261" s="75"/>
      <c r="AI261" s="75"/>
      <c r="AJ261" s="75"/>
      <c r="AK261" s="75"/>
      <c r="AL261" s="75"/>
      <c r="AM261" s="75"/>
      <c r="AN261" s="75"/>
      <c r="AO261" s="284">
        <f t="shared" si="17"/>
        <v>0</v>
      </c>
      <c r="AP261" s="439"/>
      <c r="AR261" s="409"/>
    </row>
    <row r="262" spans="2:44" s="83" customFormat="1">
      <c r="B262" s="82" t="s">
        <v>88</v>
      </c>
      <c r="C262" s="82"/>
      <c r="D262" s="81"/>
      <c r="E262" s="81"/>
      <c r="F262" s="81"/>
      <c r="G262" s="81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  <c r="AC262" s="75"/>
      <c r="AD262" s="75"/>
      <c r="AE262" s="75"/>
      <c r="AF262" s="75"/>
      <c r="AG262" s="166"/>
      <c r="AH262" s="166"/>
      <c r="AI262" s="166"/>
      <c r="AJ262" s="166"/>
      <c r="AK262" s="75"/>
      <c r="AL262" s="75"/>
      <c r="AM262" s="75"/>
      <c r="AN262" s="75"/>
      <c r="AO262" s="284">
        <f t="shared" si="17"/>
        <v>0</v>
      </c>
      <c r="AP262" s="591">
        <f>SUM(AO262:AO289)</f>
        <v>0</v>
      </c>
      <c r="AR262" s="409"/>
    </row>
    <row r="263" spans="2:44" s="83" customFormat="1">
      <c r="B263" s="82" t="s">
        <v>88</v>
      </c>
      <c r="C263" s="82"/>
      <c r="D263" s="81"/>
      <c r="E263" s="81"/>
      <c r="F263" s="81"/>
      <c r="G263" s="81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  <c r="AC263" s="75"/>
      <c r="AD263" s="75"/>
      <c r="AE263" s="75"/>
      <c r="AF263" s="75"/>
      <c r="AG263" s="166"/>
      <c r="AH263" s="166"/>
      <c r="AI263" s="166"/>
      <c r="AJ263" s="166"/>
      <c r="AK263" s="75"/>
      <c r="AL263" s="75"/>
      <c r="AM263" s="75"/>
      <c r="AN263" s="75"/>
      <c r="AO263" s="284">
        <f t="shared" si="17"/>
        <v>0</v>
      </c>
      <c r="AP263" s="592"/>
      <c r="AR263" s="409"/>
    </row>
    <row r="264" spans="2:44" s="83" customFormat="1">
      <c r="B264" s="82" t="s">
        <v>88</v>
      </c>
      <c r="C264" s="82"/>
      <c r="D264" s="81"/>
      <c r="E264" s="81"/>
      <c r="F264" s="81"/>
      <c r="G264" s="81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  <c r="AC264" s="75"/>
      <c r="AD264" s="75"/>
      <c r="AE264" s="75"/>
      <c r="AF264" s="75"/>
      <c r="AG264" s="166"/>
      <c r="AH264" s="166"/>
      <c r="AI264" s="80"/>
      <c r="AJ264" s="166"/>
      <c r="AK264" s="75"/>
      <c r="AL264" s="75"/>
      <c r="AM264" s="75"/>
      <c r="AN264" s="75"/>
      <c r="AO264" s="284">
        <f t="shared" si="17"/>
        <v>0</v>
      </c>
      <c r="AP264" s="592"/>
      <c r="AR264" s="409"/>
    </row>
    <row r="265" spans="2:44" s="83" customFormat="1">
      <c r="B265" s="82" t="s">
        <v>88</v>
      </c>
      <c r="C265" s="82"/>
      <c r="D265" s="81"/>
      <c r="E265" s="81"/>
      <c r="F265" s="81"/>
      <c r="G265" s="81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  <c r="AC265" s="75"/>
      <c r="AD265" s="75"/>
      <c r="AE265" s="75"/>
      <c r="AF265" s="75"/>
      <c r="AG265" s="166"/>
      <c r="AH265" s="166"/>
      <c r="AI265" s="80"/>
      <c r="AJ265" s="166"/>
      <c r="AK265" s="75"/>
      <c r="AL265" s="75"/>
      <c r="AM265" s="75"/>
      <c r="AN265" s="166"/>
      <c r="AO265" s="284">
        <f t="shared" si="17"/>
        <v>0</v>
      </c>
      <c r="AP265" s="592"/>
      <c r="AR265" s="409"/>
    </row>
    <row r="266" spans="2:44" s="83" customFormat="1">
      <c r="B266" s="82" t="s">
        <v>88</v>
      </c>
      <c r="C266" s="82"/>
      <c r="D266" s="81"/>
      <c r="E266" s="81"/>
      <c r="F266" s="81"/>
      <c r="G266" s="81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  <c r="AC266" s="75"/>
      <c r="AD266" s="75"/>
      <c r="AE266" s="75"/>
      <c r="AF266" s="75"/>
      <c r="AG266" s="166"/>
      <c r="AH266" s="166"/>
      <c r="AI266" s="166"/>
      <c r="AJ266" s="166"/>
      <c r="AK266" s="75"/>
      <c r="AL266" s="75"/>
      <c r="AM266" s="75"/>
      <c r="AN266" s="75"/>
      <c r="AO266" s="284">
        <f t="shared" si="17"/>
        <v>0</v>
      </c>
      <c r="AP266" s="592"/>
      <c r="AR266" s="409"/>
    </row>
    <row r="267" spans="2:44" s="83" customFormat="1">
      <c r="B267" s="82" t="s">
        <v>88</v>
      </c>
      <c r="C267" s="82"/>
      <c r="D267" s="81"/>
      <c r="E267" s="81"/>
      <c r="F267" s="81"/>
      <c r="G267" s="81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  <c r="AC267" s="75"/>
      <c r="AD267" s="75"/>
      <c r="AE267" s="75"/>
      <c r="AF267" s="75"/>
      <c r="AG267" s="166"/>
      <c r="AH267" s="166"/>
      <c r="AI267" s="166"/>
      <c r="AJ267" s="166"/>
      <c r="AK267" s="75"/>
      <c r="AL267" s="75"/>
      <c r="AM267" s="75"/>
      <c r="AN267" s="75"/>
      <c r="AO267" s="284">
        <f t="shared" si="17"/>
        <v>0</v>
      </c>
      <c r="AP267" s="592"/>
      <c r="AR267" s="409"/>
    </row>
    <row r="268" spans="2:44" s="83" customFormat="1">
      <c r="B268" s="82" t="s">
        <v>88</v>
      </c>
      <c r="C268" s="82"/>
      <c r="D268" s="81"/>
      <c r="E268" s="81"/>
      <c r="F268" s="81"/>
      <c r="G268" s="81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  <c r="AC268" s="75"/>
      <c r="AD268" s="75"/>
      <c r="AE268" s="75"/>
      <c r="AF268" s="75"/>
      <c r="AG268" s="166"/>
      <c r="AH268" s="166"/>
      <c r="AI268" s="166"/>
      <c r="AJ268" s="166"/>
      <c r="AK268" s="75"/>
      <c r="AL268" s="75"/>
      <c r="AM268" s="75"/>
      <c r="AN268" s="75"/>
      <c r="AO268" s="284">
        <f t="shared" si="17"/>
        <v>0</v>
      </c>
      <c r="AP268" s="592"/>
      <c r="AR268" s="409"/>
    </row>
    <row r="269" spans="2:44" s="83" customFormat="1">
      <c r="B269" s="82" t="s">
        <v>88</v>
      </c>
      <c r="C269" s="82"/>
      <c r="D269" s="81"/>
      <c r="E269" s="81"/>
      <c r="F269" s="81"/>
      <c r="G269" s="81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  <c r="AC269" s="75"/>
      <c r="AD269" s="75"/>
      <c r="AE269" s="75"/>
      <c r="AF269" s="75"/>
      <c r="AG269" s="166"/>
      <c r="AH269" s="166"/>
      <c r="AI269" s="166"/>
      <c r="AJ269" s="166"/>
      <c r="AK269" s="75"/>
      <c r="AL269" s="75"/>
      <c r="AM269" s="75"/>
      <c r="AN269" s="75"/>
      <c r="AO269" s="284">
        <f t="shared" si="17"/>
        <v>0</v>
      </c>
      <c r="AP269" s="592"/>
      <c r="AR269" s="409"/>
    </row>
    <row r="270" spans="2:44" s="83" customFormat="1">
      <c r="B270" s="82" t="s">
        <v>88</v>
      </c>
      <c r="C270" s="82"/>
      <c r="D270" s="81"/>
      <c r="E270" s="81"/>
      <c r="F270" s="81"/>
      <c r="G270" s="81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  <c r="AC270" s="75"/>
      <c r="AD270" s="75"/>
      <c r="AE270" s="75"/>
      <c r="AF270" s="75"/>
      <c r="AG270" s="166"/>
      <c r="AH270" s="166"/>
      <c r="AI270" s="166"/>
      <c r="AJ270" s="166"/>
      <c r="AK270" s="75"/>
      <c r="AL270" s="75"/>
      <c r="AM270" s="75"/>
      <c r="AN270" s="75"/>
      <c r="AO270" s="284">
        <f t="shared" si="17"/>
        <v>0</v>
      </c>
      <c r="AP270" s="592"/>
      <c r="AR270" s="409"/>
    </row>
    <row r="271" spans="2:44" s="83" customFormat="1">
      <c r="B271" s="82" t="s">
        <v>88</v>
      </c>
      <c r="C271" s="82"/>
      <c r="D271" s="81"/>
      <c r="E271" s="81"/>
      <c r="F271" s="81"/>
      <c r="G271" s="81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  <c r="AC271" s="75"/>
      <c r="AD271" s="75"/>
      <c r="AE271" s="75"/>
      <c r="AF271" s="75"/>
      <c r="AG271" s="166"/>
      <c r="AH271" s="166"/>
      <c r="AI271" s="166"/>
      <c r="AJ271" s="166"/>
      <c r="AK271" s="75"/>
      <c r="AL271" s="75"/>
      <c r="AM271" s="75"/>
      <c r="AN271" s="75"/>
      <c r="AO271" s="284">
        <f t="shared" si="17"/>
        <v>0</v>
      </c>
      <c r="AP271" s="592"/>
      <c r="AR271" s="409"/>
    </row>
    <row r="272" spans="2:44" s="83" customFormat="1">
      <c r="B272" s="82" t="s">
        <v>88</v>
      </c>
      <c r="C272" s="82"/>
      <c r="D272" s="81"/>
      <c r="E272" s="81"/>
      <c r="F272" s="81"/>
      <c r="G272" s="81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  <c r="AC272" s="75"/>
      <c r="AD272" s="75"/>
      <c r="AE272" s="75"/>
      <c r="AF272" s="75"/>
      <c r="AG272" s="166"/>
      <c r="AH272" s="166"/>
      <c r="AI272" s="166"/>
      <c r="AJ272" s="166"/>
      <c r="AK272" s="75"/>
      <c r="AL272" s="75"/>
      <c r="AM272" s="75"/>
      <c r="AN272" s="75"/>
      <c r="AO272" s="284">
        <f t="shared" si="17"/>
        <v>0</v>
      </c>
      <c r="AP272" s="592"/>
      <c r="AR272" s="409"/>
    </row>
    <row r="273" spans="2:44" s="83" customFormat="1">
      <c r="B273" s="82" t="s">
        <v>88</v>
      </c>
      <c r="C273" s="82"/>
      <c r="D273" s="81"/>
      <c r="E273" s="81"/>
      <c r="F273" s="81"/>
      <c r="G273" s="81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  <c r="AC273" s="75"/>
      <c r="AD273" s="75"/>
      <c r="AE273" s="75"/>
      <c r="AF273" s="75"/>
      <c r="AG273" s="166"/>
      <c r="AH273" s="166"/>
      <c r="AI273" s="166"/>
      <c r="AJ273" s="166"/>
      <c r="AK273" s="75"/>
      <c r="AL273" s="75"/>
      <c r="AM273" s="75"/>
      <c r="AN273" s="75"/>
      <c r="AO273" s="284">
        <f t="shared" si="17"/>
        <v>0</v>
      </c>
      <c r="AP273" s="592"/>
      <c r="AR273" s="409"/>
    </row>
    <row r="274" spans="2:44" s="83" customFormat="1">
      <c r="B274" s="82" t="s">
        <v>88</v>
      </c>
      <c r="C274" s="82"/>
      <c r="D274" s="81"/>
      <c r="E274" s="81"/>
      <c r="F274" s="81"/>
      <c r="G274" s="81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  <c r="AC274" s="75"/>
      <c r="AD274" s="75"/>
      <c r="AE274" s="75"/>
      <c r="AF274" s="75"/>
      <c r="AG274" s="166"/>
      <c r="AH274" s="166"/>
      <c r="AI274" s="166"/>
      <c r="AJ274" s="166"/>
      <c r="AK274" s="75"/>
      <c r="AL274" s="75"/>
      <c r="AM274" s="75"/>
      <c r="AN274" s="75"/>
      <c r="AO274" s="284">
        <f t="shared" si="17"/>
        <v>0</v>
      </c>
      <c r="AP274" s="592"/>
      <c r="AR274" s="409"/>
    </row>
    <row r="275" spans="2:44" s="83" customFormat="1">
      <c r="B275" s="82" t="s">
        <v>88</v>
      </c>
      <c r="C275" s="82"/>
      <c r="D275" s="81"/>
      <c r="E275" s="81"/>
      <c r="F275" s="81"/>
      <c r="G275" s="81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  <c r="AC275" s="75"/>
      <c r="AD275" s="75"/>
      <c r="AE275" s="75"/>
      <c r="AF275" s="75"/>
      <c r="AG275" s="166"/>
      <c r="AH275" s="166"/>
      <c r="AI275" s="166"/>
      <c r="AJ275" s="166"/>
      <c r="AK275" s="75"/>
      <c r="AL275" s="75"/>
      <c r="AM275" s="75"/>
      <c r="AN275" s="75"/>
      <c r="AO275" s="284">
        <f t="shared" si="17"/>
        <v>0</v>
      </c>
      <c r="AP275" s="592"/>
      <c r="AR275" s="409"/>
    </row>
    <row r="276" spans="2:44" s="83" customFormat="1">
      <c r="B276" s="82" t="s">
        <v>88</v>
      </c>
      <c r="C276" s="82"/>
      <c r="D276" s="81"/>
      <c r="E276" s="81"/>
      <c r="F276" s="81"/>
      <c r="G276" s="81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  <c r="AC276" s="75"/>
      <c r="AD276" s="75"/>
      <c r="AE276" s="75"/>
      <c r="AF276" s="75"/>
      <c r="AG276" s="166"/>
      <c r="AH276" s="166"/>
      <c r="AI276" s="166"/>
      <c r="AJ276" s="166"/>
      <c r="AK276" s="75"/>
      <c r="AL276" s="75"/>
      <c r="AM276" s="75"/>
      <c r="AN276" s="75"/>
      <c r="AO276" s="284">
        <f t="shared" si="17"/>
        <v>0</v>
      </c>
      <c r="AP276" s="592"/>
      <c r="AR276" s="409"/>
    </row>
    <row r="277" spans="2:44" s="83" customFormat="1">
      <c r="B277" s="82" t="s">
        <v>88</v>
      </c>
      <c r="C277" s="82"/>
      <c r="D277" s="81"/>
      <c r="E277" s="81"/>
      <c r="F277" s="81"/>
      <c r="G277" s="81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  <c r="AC277" s="75"/>
      <c r="AD277" s="75"/>
      <c r="AE277" s="75"/>
      <c r="AF277" s="75"/>
      <c r="AG277" s="166"/>
      <c r="AH277" s="166"/>
      <c r="AI277" s="166"/>
      <c r="AJ277" s="166"/>
      <c r="AK277" s="75"/>
      <c r="AL277" s="75"/>
      <c r="AM277" s="75"/>
      <c r="AN277" s="75"/>
      <c r="AO277" s="284">
        <f t="shared" si="17"/>
        <v>0</v>
      </c>
      <c r="AP277" s="592"/>
      <c r="AR277" s="409"/>
    </row>
    <row r="278" spans="2:44" s="83" customFormat="1">
      <c r="B278" s="82" t="s">
        <v>88</v>
      </c>
      <c r="C278" s="82"/>
      <c r="D278" s="81"/>
      <c r="E278" s="81"/>
      <c r="F278" s="81"/>
      <c r="G278" s="81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  <c r="AC278" s="75"/>
      <c r="AD278" s="75"/>
      <c r="AE278" s="75"/>
      <c r="AF278" s="75"/>
      <c r="AG278" s="166"/>
      <c r="AH278" s="166"/>
      <c r="AI278" s="166"/>
      <c r="AJ278" s="166"/>
      <c r="AK278" s="75"/>
      <c r="AL278" s="75"/>
      <c r="AM278" s="75"/>
      <c r="AN278" s="75"/>
      <c r="AO278" s="284">
        <f t="shared" si="17"/>
        <v>0</v>
      </c>
      <c r="AP278" s="592"/>
      <c r="AR278" s="409"/>
    </row>
    <row r="279" spans="2:44" s="83" customFormat="1">
      <c r="B279" s="82" t="s">
        <v>88</v>
      </c>
      <c r="C279" s="82"/>
      <c r="D279" s="81"/>
      <c r="E279" s="81"/>
      <c r="F279" s="81"/>
      <c r="G279" s="81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  <c r="AC279" s="75"/>
      <c r="AD279" s="75"/>
      <c r="AE279" s="75"/>
      <c r="AF279" s="75"/>
      <c r="AG279" s="166"/>
      <c r="AH279" s="166"/>
      <c r="AI279" s="166"/>
      <c r="AJ279" s="166"/>
      <c r="AK279" s="75"/>
      <c r="AL279" s="75"/>
      <c r="AM279" s="75"/>
      <c r="AN279" s="75"/>
      <c r="AO279" s="284">
        <f t="shared" si="17"/>
        <v>0</v>
      </c>
      <c r="AP279" s="592"/>
      <c r="AR279" s="409"/>
    </row>
    <row r="280" spans="2:44" s="83" customFormat="1">
      <c r="B280" s="82" t="s">
        <v>88</v>
      </c>
      <c r="C280" s="82"/>
      <c r="D280" s="81"/>
      <c r="E280" s="81"/>
      <c r="F280" s="81"/>
      <c r="G280" s="81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  <c r="AC280" s="75"/>
      <c r="AD280" s="75"/>
      <c r="AE280" s="75"/>
      <c r="AF280" s="75"/>
      <c r="AG280" s="166"/>
      <c r="AH280" s="166"/>
      <c r="AI280" s="166"/>
      <c r="AJ280" s="166"/>
      <c r="AK280" s="75"/>
      <c r="AL280" s="75"/>
      <c r="AM280" s="75"/>
      <c r="AN280" s="75"/>
      <c r="AO280" s="284">
        <f t="shared" si="17"/>
        <v>0</v>
      </c>
      <c r="AP280" s="592"/>
      <c r="AR280" s="409"/>
    </row>
    <row r="281" spans="2:44" s="83" customFormat="1">
      <c r="B281" s="82" t="s">
        <v>88</v>
      </c>
      <c r="C281" s="82"/>
      <c r="D281" s="81"/>
      <c r="E281" s="81"/>
      <c r="F281" s="81"/>
      <c r="G281" s="81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  <c r="AC281" s="75"/>
      <c r="AD281" s="75"/>
      <c r="AE281" s="75"/>
      <c r="AF281" s="75"/>
      <c r="AG281" s="75"/>
      <c r="AH281" s="75"/>
      <c r="AI281" s="75"/>
      <c r="AJ281" s="75"/>
      <c r="AK281" s="75"/>
      <c r="AL281" s="75"/>
      <c r="AM281" s="75"/>
      <c r="AN281" s="75"/>
      <c r="AO281" s="284">
        <f t="shared" si="17"/>
        <v>0</v>
      </c>
      <c r="AP281" s="592"/>
      <c r="AR281" s="409"/>
    </row>
    <row r="282" spans="2:44" s="83" customFormat="1">
      <c r="B282" s="82" t="s">
        <v>88</v>
      </c>
      <c r="C282" s="82"/>
      <c r="D282" s="81"/>
      <c r="E282" s="81"/>
      <c r="F282" s="81"/>
      <c r="G282" s="81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  <c r="AC282" s="75"/>
      <c r="AD282" s="75"/>
      <c r="AE282" s="75"/>
      <c r="AF282" s="75"/>
      <c r="AG282" s="75"/>
      <c r="AH282" s="75"/>
      <c r="AI282" s="75"/>
      <c r="AJ282" s="75"/>
      <c r="AK282" s="75"/>
      <c r="AL282" s="75"/>
      <c r="AM282" s="75"/>
      <c r="AN282" s="75"/>
      <c r="AO282" s="284">
        <f t="shared" si="17"/>
        <v>0</v>
      </c>
      <c r="AP282" s="592"/>
      <c r="AR282" s="409"/>
    </row>
    <row r="283" spans="2:44" s="83" customFormat="1">
      <c r="B283" s="82" t="s">
        <v>88</v>
      </c>
      <c r="C283" s="82"/>
      <c r="D283" s="81"/>
      <c r="E283" s="81"/>
      <c r="F283" s="81"/>
      <c r="G283" s="81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75"/>
      <c r="AD283" s="75"/>
      <c r="AE283" s="75"/>
      <c r="AF283" s="75"/>
      <c r="AG283" s="166"/>
      <c r="AH283" s="166"/>
      <c r="AI283" s="166"/>
      <c r="AJ283" s="166"/>
      <c r="AK283" s="166"/>
      <c r="AL283" s="166"/>
      <c r="AM283" s="166"/>
      <c r="AN283" s="166"/>
      <c r="AO283" s="284">
        <f t="shared" si="17"/>
        <v>0</v>
      </c>
      <c r="AP283" s="592"/>
      <c r="AR283" s="409"/>
    </row>
    <row r="284" spans="2:44" s="83" customFormat="1">
      <c r="B284" s="82" t="s">
        <v>88</v>
      </c>
      <c r="C284" s="82"/>
      <c r="D284" s="81"/>
      <c r="E284" s="81"/>
      <c r="F284" s="81"/>
      <c r="G284" s="81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75"/>
      <c r="AD284" s="75"/>
      <c r="AE284" s="75"/>
      <c r="AF284" s="75"/>
      <c r="AG284" s="166"/>
      <c r="AH284" s="166"/>
      <c r="AI284" s="166"/>
      <c r="AJ284" s="166"/>
      <c r="AK284" s="166"/>
      <c r="AL284" s="166"/>
      <c r="AM284" s="166"/>
      <c r="AN284" s="166"/>
      <c r="AO284" s="284">
        <f t="shared" si="17"/>
        <v>0</v>
      </c>
      <c r="AP284" s="592"/>
      <c r="AR284" s="409"/>
    </row>
    <row r="285" spans="2:44" s="83" customFormat="1">
      <c r="B285" s="82" t="s">
        <v>88</v>
      </c>
      <c r="C285" s="82"/>
      <c r="D285" s="81"/>
      <c r="E285" s="81"/>
      <c r="F285" s="81"/>
      <c r="G285" s="81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75"/>
      <c r="AD285" s="75"/>
      <c r="AE285" s="75"/>
      <c r="AF285" s="75"/>
      <c r="AG285" s="166"/>
      <c r="AH285" s="166"/>
      <c r="AI285" s="166"/>
      <c r="AJ285" s="166"/>
      <c r="AK285" s="166"/>
      <c r="AL285" s="166"/>
      <c r="AM285" s="166"/>
      <c r="AN285" s="166"/>
      <c r="AO285" s="284">
        <f t="shared" si="17"/>
        <v>0</v>
      </c>
      <c r="AP285" s="592"/>
      <c r="AR285" s="409"/>
    </row>
    <row r="286" spans="2:44" s="83" customFormat="1">
      <c r="B286" s="82" t="s">
        <v>88</v>
      </c>
      <c r="C286" s="82"/>
      <c r="D286" s="81"/>
      <c r="E286" s="81"/>
      <c r="F286" s="81"/>
      <c r="G286" s="81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75"/>
      <c r="AD286" s="75"/>
      <c r="AE286" s="75"/>
      <c r="AF286" s="75"/>
      <c r="AG286" s="166"/>
      <c r="AH286" s="166"/>
      <c r="AI286" s="166"/>
      <c r="AJ286" s="166"/>
      <c r="AK286" s="166"/>
      <c r="AL286" s="166"/>
      <c r="AM286" s="166"/>
      <c r="AN286" s="166"/>
      <c r="AO286" s="284">
        <f t="shared" si="17"/>
        <v>0</v>
      </c>
      <c r="AP286" s="592"/>
      <c r="AR286" s="409"/>
    </row>
    <row r="287" spans="2:44" s="83" customFormat="1">
      <c r="B287" s="82" t="s">
        <v>88</v>
      </c>
      <c r="C287" s="82"/>
      <c r="D287" s="81"/>
      <c r="E287" s="81"/>
      <c r="F287" s="81"/>
      <c r="G287" s="81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75"/>
      <c r="AD287" s="75"/>
      <c r="AE287" s="75"/>
      <c r="AF287" s="75"/>
      <c r="AG287" s="166"/>
      <c r="AH287" s="166"/>
      <c r="AI287" s="166"/>
      <c r="AJ287" s="166"/>
      <c r="AK287" s="166"/>
      <c r="AL287" s="166"/>
      <c r="AM287" s="166"/>
      <c r="AN287" s="166"/>
      <c r="AO287" s="284">
        <f t="shared" si="17"/>
        <v>0</v>
      </c>
      <c r="AP287" s="592"/>
      <c r="AR287" s="409"/>
    </row>
    <row r="288" spans="2:44" s="83" customFormat="1">
      <c r="B288" s="82" t="s">
        <v>88</v>
      </c>
      <c r="C288" s="82"/>
      <c r="D288" s="81"/>
      <c r="E288" s="81"/>
      <c r="F288" s="81"/>
      <c r="G288" s="81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75"/>
      <c r="AD288" s="75"/>
      <c r="AE288" s="75"/>
      <c r="AF288" s="75"/>
      <c r="AG288" s="166"/>
      <c r="AH288" s="166"/>
      <c r="AI288" s="166"/>
      <c r="AJ288" s="166"/>
      <c r="AK288" s="166"/>
      <c r="AL288" s="166"/>
      <c r="AM288" s="166"/>
      <c r="AN288" s="166"/>
      <c r="AO288" s="284">
        <f t="shared" si="17"/>
        <v>0</v>
      </c>
      <c r="AP288" s="592"/>
      <c r="AR288" s="409"/>
    </row>
    <row r="289" spans="2:44" s="83" customFormat="1" ht="16.5" thickBot="1">
      <c r="B289" s="82" t="s">
        <v>88</v>
      </c>
      <c r="C289" s="82"/>
      <c r="D289" s="81"/>
      <c r="E289" s="81"/>
      <c r="F289" s="81"/>
      <c r="G289" s="81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75"/>
      <c r="AD289" s="75"/>
      <c r="AE289" s="75"/>
      <c r="AF289" s="75"/>
      <c r="AG289" s="166"/>
      <c r="AH289" s="166"/>
      <c r="AI289" s="166"/>
      <c r="AJ289" s="166"/>
      <c r="AK289" s="166"/>
      <c r="AL289" s="166"/>
      <c r="AM289" s="166"/>
      <c r="AN289" s="166"/>
      <c r="AO289" s="284">
        <f t="shared" ref="AO289:AO312" si="18">SUM(I289:AN289)</f>
        <v>0</v>
      </c>
      <c r="AP289" s="593"/>
      <c r="AR289" s="409"/>
    </row>
    <row r="290" spans="2:44" s="83" customFormat="1">
      <c r="B290" s="82" t="s">
        <v>88</v>
      </c>
      <c r="C290" s="82"/>
      <c r="D290" s="81"/>
      <c r="E290" s="81"/>
      <c r="F290" s="81"/>
      <c r="G290" s="81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75"/>
      <c r="AD290" s="75"/>
      <c r="AE290" s="75"/>
      <c r="AF290" s="75"/>
      <c r="AG290" s="166"/>
      <c r="AH290" s="166"/>
      <c r="AI290" s="166"/>
      <c r="AJ290" s="166"/>
      <c r="AK290" s="166"/>
      <c r="AL290" s="166"/>
      <c r="AM290" s="166"/>
      <c r="AN290" s="166"/>
      <c r="AO290" s="284">
        <f t="shared" si="18"/>
        <v>0</v>
      </c>
      <c r="AP290" s="561">
        <f>SUM(AO290:AO310)</f>
        <v>0</v>
      </c>
      <c r="AR290" s="409"/>
    </row>
    <row r="291" spans="2:44" s="83" customFormat="1">
      <c r="B291" s="82" t="s">
        <v>88</v>
      </c>
      <c r="C291" s="82"/>
      <c r="D291" s="81"/>
      <c r="E291" s="81"/>
      <c r="F291" s="81"/>
      <c r="G291" s="81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75"/>
      <c r="AD291" s="75"/>
      <c r="AE291" s="75"/>
      <c r="AF291" s="75"/>
      <c r="AG291" s="166"/>
      <c r="AH291" s="75"/>
      <c r="AI291" s="75"/>
      <c r="AJ291" s="75"/>
      <c r="AK291" s="75"/>
      <c r="AL291" s="75"/>
      <c r="AM291" s="75"/>
      <c r="AN291" s="75"/>
      <c r="AO291" s="284">
        <f t="shared" si="18"/>
        <v>0</v>
      </c>
      <c r="AP291" s="562"/>
      <c r="AR291" s="409"/>
    </row>
    <row r="292" spans="2:44" s="83" customFormat="1">
      <c r="B292" s="82" t="s">
        <v>88</v>
      </c>
      <c r="C292" s="82"/>
      <c r="D292" s="81"/>
      <c r="E292" s="81"/>
      <c r="F292" s="81"/>
      <c r="G292" s="81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75"/>
      <c r="AD292" s="75"/>
      <c r="AE292" s="75"/>
      <c r="AF292" s="75"/>
      <c r="AG292" s="75"/>
      <c r="AH292" s="75"/>
      <c r="AI292" s="75"/>
      <c r="AJ292" s="75"/>
      <c r="AK292" s="75"/>
      <c r="AL292" s="75"/>
      <c r="AM292" s="75"/>
      <c r="AN292" s="75"/>
      <c r="AO292" s="284">
        <f t="shared" si="18"/>
        <v>0</v>
      </c>
      <c r="AP292" s="562"/>
      <c r="AR292" s="409"/>
    </row>
    <row r="293" spans="2:44" s="83" customFormat="1">
      <c r="B293" s="82" t="s">
        <v>88</v>
      </c>
      <c r="C293" s="82"/>
      <c r="D293" s="81"/>
      <c r="E293" s="81"/>
      <c r="F293" s="81"/>
      <c r="G293" s="81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75"/>
      <c r="AD293" s="75"/>
      <c r="AE293" s="75"/>
      <c r="AF293" s="75"/>
      <c r="AG293" s="75"/>
      <c r="AH293" s="75"/>
      <c r="AI293" s="75"/>
      <c r="AJ293" s="75"/>
      <c r="AK293" s="75"/>
      <c r="AL293" s="75"/>
      <c r="AM293" s="75"/>
      <c r="AN293" s="75"/>
      <c r="AO293" s="284">
        <f t="shared" si="18"/>
        <v>0</v>
      </c>
      <c r="AP293" s="562"/>
      <c r="AR293" s="409"/>
    </row>
    <row r="294" spans="2:44" s="83" customFormat="1">
      <c r="B294" s="82" t="s">
        <v>88</v>
      </c>
      <c r="C294" s="82"/>
      <c r="D294" s="81"/>
      <c r="E294" s="81"/>
      <c r="F294" s="81"/>
      <c r="G294" s="81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75"/>
      <c r="AD294" s="75"/>
      <c r="AE294" s="75"/>
      <c r="AF294" s="75"/>
      <c r="AG294" s="75"/>
      <c r="AH294" s="166"/>
      <c r="AI294" s="75"/>
      <c r="AJ294" s="75"/>
      <c r="AK294" s="75"/>
      <c r="AL294" s="75"/>
      <c r="AM294" s="75"/>
      <c r="AN294" s="75"/>
      <c r="AO294" s="284">
        <f t="shared" si="18"/>
        <v>0</v>
      </c>
      <c r="AP294" s="562"/>
      <c r="AR294" s="409"/>
    </row>
    <row r="295" spans="2:44" s="83" customFormat="1" ht="15">
      <c r="B295" s="82" t="s">
        <v>88</v>
      </c>
      <c r="C295" s="82"/>
      <c r="D295" s="81"/>
      <c r="E295" s="81"/>
      <c r="F295" s="81"/>
      <c r="G295" s="81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75"/>
      <c r="AD295" s="75"/>
      <c r="AE295" s="75"/>
      <c r="AF295" s="75"/>
      <c r="AG295" s="75"/>
      <c r="AH295" s="75"/>
      <c r="AI295" s="75"/>
      <c r="AJ295" s="75"/>
      <c r="AK295" s="75"/>
      <c r="AL295" s="75"/>
      <c r="AM295" s="75"/>
      <c r="AN295" s="75"/>
      <c r="AO295" s="284">
        <f t="shared" si="18"/>
        <v>0</v>
      </c>
      <c r="AP295" s="562"/>
    </row>
    <row r="296" spans="2:44" s="83" customFormat="1">
      <c r="B296" s="82" t="s">
        <v>88</v>
      </c>
      <c r="C296" s="82"/>
      <c r="D296" s="81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75"/>
      <c r="AD296" s="75"/>
      <c r="AE296" s="75"/>
      <c r="AF296" s="75"/>
      <c r="AG296" s="75"/>
      <c r="AH296" s="75"/>
      <c r="AI296" s="75"/>
      <c r="AJ296" s="75"/>
      <c r="AK296" s="75"/>
      <c r="AL296" s="75"/>
      <c r="AM296" s="75"/>
      <c r="AN296" s="75"/>
      <c r="AO296" s="284">
        <f t="shared" si="18"/>
        <v>0</v>
      </c>
      <c r="AP296" s="562"/>
      <c r="AR296" s="409"/>
    </row>
    <row r="297" spans="2:44" s="83" customFormat="1">
      <c r="B297" s="82" t="s">
        <v>88</v>
      </c>
      <c r="C297" s="82"/>
      <c r="D297" s="81"/>
      <c r="E297" s="81"/>
      <c r="F297" s="81"/>
      <c r="G297" s="81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75"/>
      <c r="AD297" s="166"/>
      <c r="AE297" s="75"/>
      <c r="AF297" s="75"/>
      <c r="AG297" s="75"/>
      <c r="AH297" s="75"/>
      <c r="AI297" s="75"/>
      <c r="AJ297" s="75"/>
      <c r="AK297" s="75"/>
      <c r="AL297" s="75"/>
      <c r="AM297" s="75"/>
      <c r="AN297" s="75"/>
      <c r="AO297" s="284">
        <f t="shared" si="18"/>
        <v>0</v>
      </c>
      <c r="AP297" s="562"/>
      <c r="AR297" s="409"/>
    </row>
    <row r="298" spans="2:44" s="83" customFormat="1">
      <c r="B298" s="82" t="s">
        <v>88</v>
      </c>
      <c r="C298" s="82"/>
      <c r="D298" s="81"/>
      <c r="E298" s="81"/>
      <c r="F298" s="81"/>
      <c r="G298" s="81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75"/>
      <c r="AD298" s="75"/>
      <c r="AE298" s="75"/>
      <c r="AF298" s="75"/>
      <c r="AG298" s="75"/>
      <c r="AH298" s="75"/>
      <c r="AI298" s="166"/>
      <c r="AJ298" s="166"/>
      <c r="AK298" s="166"/>
      <c r="AL298" s="75"/>
      <c r="AM298" s="75"/>
      <c r="AN298" s="75"/>
      <c r="AO298" s="284">
        <f t="shared" si="18"/>
        <v>0</v>
      </c>
      <c r="AP298" s="562"/>
      <c r="AR298" s="409"/>
    </row>
    <row r="299" spans="2:44" s="83" customFormat="1">
      <c r="B299" s="82" t="s">
        <v>88</v>
      </c>
      <c r="C299" s="82"/>
      <c r="D299" s="81"/>
      <c r="E299" s="81"/>
      <c r="F299" s="81"/>
      <c r="G299" s="81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75"/>
      <c r="AD299" s="75"/>
      <c r="AE299" s="75"/>
      <c r="AF299" s="75"/>
      <c r="AG299" s="75"/>
      <c r="AH299" s="75"/>
      <c r="AI299" s="166"/>
      <c r="AJ299" s="166"/>
      <c r="AK299" s="166"/>
      <c r="AL299" s="75"/>
      <c r="AM299" s="75"/>
      <c r="AN299" s="166"/>
      <c r="AO299" s="284">
        <f t="shared" si="18"/>
        <v>0</v>
      </c>
      <c r="AP299" s="562"/>
      <c r="AR299" s="409"/>
    </row>
    <row r="300" spans="2:44" s="83" customFormat="1">
      <c r="B300" s="82" t="s">
        <v>88</v>
      </c>
      <c r="C300" s="82"/>
      <c r="D300" s="81"/>
      <c r="E300" s="81"/>
      <c r="F300" s="81"/>
      <c r="G300" s="81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75"/>
      <c r="AD300" s="75"/>
      <c r="AE300" s="75"/>
      <c r="AF300" s="75"/>
      <c r="AG300" s="166"/>
      <c r="AH300" s="75"/>
      <c r="AI300" s="166"/>
      <c r="AJ300" s="166"/>
      <c r="AK300" s="166"/>
      <c r="AL300" s="75"/>
      <c r="AM300" s="75"/>
      <c r="AN300" s="75"/>
      <c r="AO300" s="284">
        <f t="shared" si="18"/>
        <v>0</v>
      </c>
      <c r="AP300" s="562"/>
      <c r="AR300" s="409"/>
    </row>
    <row r="301" spans="2:44" s="83" customFormat="1">
      <c r="B301" s="82" t="s">
        <v>88</v>
      </c>
      <c r="C301" s="82"/>
      <c r="D301" s="81"/>
      <c r="E301" s="81"/>
      <c r="F301" s="81"/>
      <c r="G301" s="81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75"/>
      <c r="AD301" s="75"/>
      <c r="AE301" s="75"/>
      <c r="AF301" s="75"/>
      <c r="AG301" s="166"/>
      <c r="AH301" s="75"/>
      <c r="AI301" s="166"/>
      <c r="AJ301" s="166"/>
      <c r="AK301" s="166"/>
      <c r="AL301" s="75"/>
      <c r="AM301" s="75"/>
      <c r="AN301" s="75"/>
      <c r="AO301" s="284">
        <f t="shared" si="18"/>
        <v>0</v>
      </c>
      <c r="AP301" s="562"/>
      <c r="AR301" s="409"/>
    </row>
    <row r="302" spans="2:44" s="83" customFormat="1">
      <c r="B302" s="82" t="s">
        <v>88</v>
      </c>
      <c r="C302" s="82"/>
      <c r="D302" s="81"/>
      <c r="E302" s="81"/>
      <c r="F302" s="81"/>
      <c r="G302" s="81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75"/>
      <c r="AD302" s="75"/>
      <c r="AE302" s="75"/>
      <c r="AF302" s="75"/>
      <c r="AG302" s="166"/>
      <c r="AH302" s="75"/>
      <c r="AI302" s="166"/>
      <c r="AJ302" s="166"/>
      <c r="AK302" s="166"/>
      <c r="AL302" s="75"/>
      <c r="AM302" s="75"/>
      <c r="AN302" s="75"/>
      <c r="AO302" s="284">
        <f t="shared" si="18"/>
        <v>0</v>
      </c>
      <c r="AP302" s="562"/>
      <c r="AR302" s="409"/>
    </row>
    <row r="303" spans="2:44" s="83" customFormat="1">
      <c r="B303" s="82" t="s">
        <v>88</v>
      </c>
      <c r="C303" s="82"/>
      <c r="D303" s="81"/>
      <c r="E303" s="81"/>
      <c r="F303" s="81"/>
      <c r="G303" s="81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75"/>
      <c r="AD303" s="75"/>
      <c r="AE303" s="75"/>
      <c r="AF303" s="75"/>
      <c r="AG303" s="166"/>
      <c r="AH303" s="75"/>
      <c r="AI303" s="166"/>
      <c r="AJ303" s="166"/>
      <c r="AK303" s="166"/>
      <c r="AL303" s="75"/>
      <c r="AM303" s="75"/>
      <c r="AN303" s="75"/>
      <c r="AO303" s="284">
        <f t="shared" si="18"/>
        <v>0</v>
      </c>
      <c r="AP303" s="562"/>
      <c r="AR303" s="409"/>
    </row>
    <row r="304" spans="2:44" s="83" customFormat="1">
      <c r="B304" s="82" t="s">
        <v>88</v>
      </c>
      <c r="C304" s="82"/>
      <c r="D304" s="81"/>
      <c r="E304" s="81"/>
      <c r="F304" s="81"/>
      <c r="G304" s="81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75"/>
      <c r="AD304" s="75"/>
      <c r="AE304" s="75"/>
      <c r="AF304" s="75"/>
      <c r="AG304" s="166"/>
      <c r="AH304" s="75"/>
      <c r="AI304" s="166"/>
      <c r="AJ304" s="166"/>
      <c r="AK304" s="166"/>
      <c r="AL304" s="75"/>
      <c r="AM304" s="75"/>
      <c r="AN304" s="75"/>
      <c r="AO304" s="284">
        <f t="shared" si="18"/>
        <v>0</v>
      </c>
      <c r="AP304" s="562"/>
      <c r="AR304" s="409"/>
    </row>
    <row r="305" spans="2:45" s="83" customFormat="1">
      <c r="B305" s="82" t="s">
        <v>88</v>
      </c>
      <c r="C305" s="82"/>
      <c r="D305" s="81"/>
      <c r="E305" s="81"/>
      <c r="F305" s="81"/>
      <c r="G305" s="81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75"/>
      <c r="AD305" s="75"/>
      <c r="AE305" s="75"/>
      <c r="AF305" s="75"/>
      <c r="AG305" s="166"/>
      <c r="AH305" s="75"/>
      <c r="AI305" s="166"/>
      <c r="AJ305" s="166"/>
      <c r="AK305" s="166"/>
      <c r="AL305" s="75"/>
      <c r="AM305" s="75"/>
      <c r="AN305" s="75"/>
      <c r="AO305" s="284">
        <f t="shared" si="18"/>
        <v>0</v>
      </c>
      <c r="AP305" s="562"/>
      <c r="AR305" s="409"/>
      <c r="AS305" s="409"/>
    </row>
    <row r="306" spans="2:45" s="83" customFormat="1">
      <c r="B306" s="82" t="s">
        <v>88</v>
      </c>
      <c r="C306" s="82"/>
      <c r="D306" s="81"/>
      <c r="E306" s="81"/>
      <c r="F306" s="81"/>
      <c r="G306" s="81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75"/>
      <c r="AD306" s="75"/>
      <c r="AE306" s="75"/>
      <c r="AF306" s="75"/>
      <c r="AG306" s="166"/>
      <c r="AH306" s="75"/>
      <c r="AI306" s="166"/>
      <c r="AJ306" s="166"/>
      <c r="AK306" s="166"/>
      <c r="AL306" s="75"/>
      <c r="AM306" s="75"/>
      <c r="AN306" s="75"/>
      <c r="AO306" s="284">
        <f t="shared" si="18"/>
        <v>0</v>
      </c>
      <c r="AP306" s="562"/>
      <c r="AR306" s="409"/>
      <c r="AS306" s="409"/>
    </row>
    <row r="307" spans="2:45" s="83" customFormat="1" ht="17.25" customHeight="1">
      <c r="B307" s="82" t="s">
        <v>88</v>
      </c>
      <c r="C307" s="82"/>
      <c r="D307" s="81"/>
      <c r="E307" s="81"/>
      <c r="F307" s="81"/>
      <c r="G307" s="81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75"/>
      <c r="AD307" s="75"/>
      <c r="AE307" s="75"/>
      <c r="AF307" s="75"/>
      <c r="AG307" s="75"/>
      <c r="AH307" s="75"/>
      <c r="AI307" s="75"/>
      <c r="AJ307" s="75"/>
      <c r="AK307" s="75"/>
      <c r="AL307" s="75"/>
      <c r="AM307" s="75"/>
      <c r="AN307" s="75"/>
      <c r="AO307" s="284">
        <f t="shared" si="18"/>
        <v>0</v>
      </c>
      <c r="AP307" s="562"/>
      <c r="AR307" s="409"/>
    </row>
    <row r="308" spans="2:45" s="83" customFormat="1" ht="17.25" customHeight="1">
      <c r="B308" s="82" t="s">
        <v>88</v>
      </c>
      <c r="C308" s="82"/>
      <c r="D308" s="81"/>
      <c r="E308" s="81"/>
      <c r="F308" s="81"/>
      <c r="G308" s="81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75"/>
      <c r="AD308" s="75"/>
      <c r="AE308" s="75"/>
      <c r="AF308" s="75"/>
      <c r="AG308" s="75"/>
      <c r="AH308" s="75"/>
      <c r="AI308" s="75"/>
      <c r="AJ308" s="75"/>
      <c r="AK308" s="75"/>
      <c r="AL308" s="75"/>
      <c r="AM308" s="75"/>
      <c r="AN308" s="75"/>
      <c r="AO308" s="284">
        <f t="shared" si="18"/>
        <v>0</v>
      </c>
      <c r="AP308" s="562"/>
      <c r="AR308" s="409"/>
    </row>
    <row r="309" spans="2:45" s="83" customFormat="1" ht="17.25" customHeight="1">
      <c r="B309" s="82" t="s">
        <v>88</v>
      </c>
      <c r="C309" s="82"/>
      <c r="D309" s="81"/>
      <c r="E309" s="81"/>
      <c r="F309" s="81"/>
      <c r="G309" s="81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75"/>
      <c r="AD309" s="75"/>
      <c r="AE309" s="75"/>
      <c r="AF309" s="75"/>
      <c r="AG309" s="75"/>
      <c r="AH309" s="75"/>
      <c r="AI309" s="75"/>
      <c r="AJ309" s="75"/>
      <c r="AK309" s="75"/>
      <c r="AL309" s="75"/>
      <c r="AM309" s="75"/>
      <c r="AN309" s="75"/>
      <c r="AO309" s="284">
        <f t="shared" si="18"/>
        <v>0</v>
      </c>
      <c r="AP309" s="562"/>
      <c r="AR309" s="409"/>
    </row>
    <row r="310" spans="2:45" s="83" customFormat="1" ht="17.25" customHeight="1" thickBot="1">
      <c r="B310" s="82" t="s">
        <v>88</v>
      </c>
      <c r="C310" s="82"/>
      <c r="D310" s="81"/>
      <c r="E310" s="81"/>
      <c r="F310" s="81"/>
      <c r="G310" s="81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75"/>
      <c r="AD310" s="75"/>
      <c r="AE310" s="75"/>
      <c r="AF310" s="75"/>
      <c r="AG310" s="166"/>
      <c r="AH310" s="75"/>
      <c r="AI310" s="75"/>
      <c r="AJ310" s="75"/>
      <c r="AK310" s="75"/>
      <c r="AL310" s="75"/>
      <c r="AM310" s="75"/>
      <c r="AN310" s="75"/>
      <c r="AO310" s="284">
        <f t="shared" si="18"/>
        <v>0</v>
      </c>
      <c r="AP310" s="563"/>
      <c r="AR310" s="409"/>
    </row>
    <row r="311" spans="2:45" s="83" customFormat="1" ht="17.25" customHeight="1">
      <c r="B311" s="82" t="s">
        <v>88</v>
      </c>
      <c r="C311" s="82"/>
      <c r="D311" s="81"/>
      <c r="E311" s="81"/>
      <c r="F311" s="81"/>
      <c r="G311" s="81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75"/>
      <c r="AD311" s="75"/>
      <c r="AE311" s="75"/>
      <c r="AF311" s="75"/>
      <c r="AG311" s="75"/>
      <c r="AH311" s="75"/>
      <c r="AI311" s="75"/>
      <c r="AJ311" s="75"/>
      <c r="AK311" s="75"/>
      <c r="AL311" s="75"/>
      <c r="AM311" s="75"/>
      <c r="AN311" s="75"/>
      <c r="AO311" s="284">
        <f t="shared" si="18"/>
        <v>0</v>
      </c>
      <c r="AP311" s="612">
        <f>SUM(AO311:AO339)</f>
        <v>0</v>
      </c>
      <c r="AR311" s="409"/>
    </row>
    <row r="312" spans="2:45" s="83" customFormat="1" ht="17.25" customHeight="1">
      <c r="B312" s="82" t="s">
        <v>88</v>
      </c>
      <c r="C312" s="82"/>
      <c r="D312" s="81"/>
      <c r="E312" s="81"/>
      <c r="F312" s="81"/>
      <c r="G312" s="81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75"/>
      <c r="AD312" s="75"/>
      <c r="AE312" s="75"/>
      <c r="AF312" s="75"/>
      <c r="AG312" s="166"/>
      <c r="AH312" s="75"/>
      <c r="AI312" s="75"/>
      <c r="AJ312" s="75"/>
      <c r="AK312" s="75"/>
      <c r="AL312" s="75"/>
      <c r="AM312" s="75"/>
      <c r="AN312" s="166"/>
      <c r="AO312" s="284">
        <f t="shared" si="18"/>
        <v>0</v>
      </c>
      <c r="AP312" s="613"/>
      <c r="AR312" s="409"/>
    </row>
    <row r="313" spans="2:45" s="83" customFormat="1" ht="17.25" customHeight="1">
      <c r="B313" s="82" t="s">
        <v>88</v>
      </c>
      <c r="C313" s="82"/>
      <c r="D313" s="81"/>
      <c r="E313" s="81"/>
      <c r="F313" s="81"/>
      <c r="G313" s="81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75"/>
      <c r="AD313" s="75"/>
      <c r="AE313" s="75"/>
      <c r="AF313" s="75"/>
      <c r="AG313" s="75"/>
      <c r="AH313" s="75"/>
      <c r="AI313" s="75"/>
      <c r="AJ313" s="75"/>
      <c r="AK313" s="75"/>
      <c r="AL313" s="75"/>
      <c r="AM313" s="75"/>
      <c r="AN313" s="75"/>
      <c r="AO313" s="284">
        <f t="shared" ref="AO313:AO344" si="19">SUM(I313:AN313)</f>
        <v>0</v>
      </c>
      <c r="AP313" s="613"/>
      <c r="AR313" s="409"/>
    </row>
    <row r="314" spans="2:45" s="83" customFormat="1" ht="17.25" customHeight="1">
      <c r="B314" s="82" t="s">
        <v>88</v>
      </c>
      <c r="C314" s="82"/>
      <c r="D314" s="81"/>
      <c r="E314" s="81"/>
      <c r="F314" s="81"/>
      <c r="G314" s="81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75"/>
      <c r="AD314" s="75"/>
      <c r="AE314" s="75"/>
      <c r="AF314" s="75"/>
      <c r="AG314" s="75"/>
      <c r="AH314" s="75"/>
      <c r="AI314" s="75"/>
      <c r="AJ314" s="75"/>
      <c r="AK314" s="75"/>
      <c r="AL314" s="75"/>
      <c r="AM314" s="75"/>
      <c r="AN314" s="75"/>
      <c r="AO314" s="284">
        <f t="shared" si="19"/>
        <v>0</v>
      </c>
      <c r="AP314" s="613"/>
      <c r="AR314" s="409"/>
    </row>
    <row r="315" spans="2:45" s="83" customFormat="1" ht="18" customHeight="1">
      <c r="B315" s="82" t="s">
        <v>88</v>
      </c>
      <c r="C315" s="82"/>
      <c r="D315" s="81"/>
      <c r="E315" s="81"/>
      <c r="F315" s="81"/>
      <c r="G315" s="81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75"/>
      <c r="AD315" s="75"/>
      <c r="AE315" s="75"/>
      <c r="AF315" s="75"/>
      <c r="AG315" s="166"/>
      <c r="AH315" s="166"/>
      <c r="AI315" s="75"/>
      <c r="AJ315" s="75"/>
      <c r="AK315" s="75"/>
      <c r="AL315" s="75"/>
      <c r="AM315" s="75"/>
      <c r="AN315" s="75"/>
      <c r="AO315" s="284">
        <f t="shared" si="19"/>
        <v>0</v>
      </c>
      <c r="AP315" s="613"/>
      <c r="AR315" s="409"/>
    </row>
    <row r="316" spans="2:45" s="83" customFormat="1" ht="17.25" customHeight="1">
      <c r="B316" s="82" t="s">
        <v>88</v>
      </c>
      <c r="C316" s="82"/>
      <c r="D316" s="81"/>
      <c r="E316" s="81"/>
      <c r="F316" s="81"/>
      <c r="G316" s="81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75"/>
      <c r="AD316" s="75"/>
      <c r="AE316" s="75"/>
      <c r="AF316" s="75"/>
      <c r="AG316" s="166"/>
      <c r="AH316" s="166"/>
      <c r="AI316" s="75"/>
      <c r="AJ316" s="75"/>
      <c r="AK316" s="75"/>
      <c r="AL316" s="75"/>
      <c r="AM316" s="75"/>
      <c r="AN316" s="75"/>
      <c r="AO316" s="284">
        <f t="shared" si="19"/>
        <v>0</v>
      </c>
      <c r="AP316" s="613"/>
    </row>
    <row r="317" spans="2:45" s="83" customFormat="1" ht="17.25" customHeight="1">
      <c r="B317" s="82" t="s">
        <v>88</v>
      </c>
      <c r="C317" s="82"/>
      <c r="D317" s="81"/>
      <c r="E317" s="81"/>
      <c r="F317" s="81"/>
      <c r="G317" s="81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75"/>
      <c r="AD317" s="75"/>
      <c r="AE317" s="75"/>
      <c r="AF317" s="75"/>
      <c r="AG317" s="166"/>
      <c r="AH317" s="166"/>
      <c r="AI317" s="75"/>
      <c r="AJ317" s="75"/>
      <c r="AK317" s="75"/>
      <c r="AL317" s="75"/>
      <c r="AM317" s="75"/>
      <c r="AN317" s="75"/>
      <c r="AO317" s="284">
        <f t="shared" si="19"/>
        <v>0</v>
      </c>
      <c r="AP317" s="613"/>
    </row>
    <row r="318" spans="2:45" s="83" customFormat="1" ht="17.25" customHeight="1">
      <c r="B318" s="82" t="s">
        <v>88</v>
      </c>
      <c r="C318" s="82"/>
      <c r="D318" s="81"/>
      <c r="E318" s="81"/>
      <c r="F318" s="81"/>
      <c r="G318" s="81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75"/>
      <c r="AD318" s="75"/>
      <c r="AE318" s="75"/>
      <c r="AF318" s="75"/>
      <c r="AG318" s="166"/>
      <c r="AH318" s="166"/>
      <c r="AI318" s="75"/>
      <c r="AJ318" s="75"/>
      <c r="AK318" s="75"/>
      <c r="AL318" s="75"/>
      <c r="AM318" s="75"/>
      <c r="AN318" s="75"/>
      <c r="AO318" s="284">
        <f t="shared" si="19"/>
        <v>0</v>
      </c>
      <c r="AP318" s="613"/>
    </row>
    <row r="319" spans="2:45" s="83" customFormat="1" ht="17.25" customHeight="1">
      <c r="B319" s="82" t="s">
        <v>88</v>
      </c>
      <c r="C319" s="82"/>
      <c r="D319" s="81"/>
      <c r="E319" s="81"/>
      <c r="F319" s="81"/>
      <c r="G319" s="81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75"/>
      <c r="AD319" s="75"/>
      <c r="AE319" s="75"/>
      <c r="AF319" s="75"/>
      <c r="AG319" s="166"/>
      <c r="AH319" s="166"/>
      <c r="AI319" s="75"/>
      <c r="AJ319" s="75"/>
      <c r="AK319" s="75"/>
      <c r="AL319" s="75"/>
      <c r="AM319" s="75"/>
      <c r="AN319" s="75"/>
      <c r="AO319" s="284">
        <f t="shared" si="19"/>
        <v>0</v>
      </c>
      <c r="AP319" s="613"/>
    </row>
    <row r="320" spans="2:45" s="83" customFormat="1" ht="17.25" customHeight="1">
      <c r="B320" s="82" t="s">
        <v>88</v>
      </c>
      <c r="C320" s="82"/>
      <c r="D320" s="81"/>
      <c r="E320" s="81"/>
      <c r="F320" s="81"/>
      <c r="G320" s="81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75"/>
      <c r="AD320" s="75"/>
      <c r="AE320" s="75"/>
      <c r="AF320" s="75"/>
      <c r="AG320" s="166"/>
      <c r="AH320" s="166"/>
      <c r="AI320" s="75"/>
      <c r="AJ320" s="75"/>
      <c r="AK320" s="75"/>
      <c r="AL320" s="75"/>
      <c r="AM320" s="75"/>
      <c r="AN320" s="75"/>
      <c r="AO320" s="284">
        <f t="shared" si="19"/>
        <v>0</v>
      </c>
      <c r="AP320" s="613"/>
    </row>
    <row r="321" spans="2:44" s="83" customFormat="1" ht="17.25" customHeight="1">
      <c r="B321" s="82" t="s">
        <v>88</v>
      </c>
      <c r="C321" s="82"/>
      <c r="D321" s="81"/>
      <c r="E321" s="81"/>
      <c r="F321" s="81"/>
      <c r="G321" s="81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75"/>
      <c r="AD321" s="75"/>
      <c r="AE321" s="75"/>
      <c r="AF321" s="75"/>
      <c r="AG321" s="166"/>
      <c r="AH321" s="166"/>
      <c r="AI321" s="75"/>
      <c r="AJ321" s="75"/>
      <c r="AK321" s="75"/>
      <c r="AL321" s="75"/>
      <c r="AM321" s="75"/>
      <c r="AN321" s="75"/>
      <c r="AO321" s="284">
        <f t="shared" si="19"/>
        <v>0</v>
      </c>
      <c r="AP321" s="613"/>
    </row>
    <row r="322" spans="2:44" s="83" customFormat="1" ht="17.25" customHeight="1">
      <c r="B322" s="82" t="s">
        <v>88</v>
      </c>
      <c r="C322" s="82"/>
      <c r="D322" s="81"/>
      <c r="E322" s="81"/>
      <c r="F322" s="81"/>
      <c r="G322" s="81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75"/>
      <c r="AD322" s="75"/>
      <c r="AE322" s="75"/>
      <c r="AF322" s="75"/>
      <c r="AG322" s="166"/>
      <c r="AH322" s="166"/>
      <c r="AI322" s="75"/>
      <c r="AJ322" s="75"/>
      <c r="AK322" s="75"/>
      <c r="AL322" s="75"/>
      <c r="AM322" s="75"/>
      <c r="AN322" s="75"/>
      <c r="AO322" s="284">
        <f t="shared" si="19"/>
        <v>0</v>
      </c>
      <c r="AP322" s="613"/>
    </row>
    <row r="323" spans="2:44" s="83" customFormat="1" ht="17.25" customHeight="1">
      <c r="B323" s="82" t="s">
        <v>88</v>
      </c>
      <c r="C323" s="82"/>
      <c r="D323" s="81"/>
      <c r="E323" s="81"/>
      <c r="F323" s="81"/>
      <c r="G323" s="81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75"/>
      <c r="AD323" s="75"/>
      <c r="AE323" s="75"/>
      <c r="AF323" s="75"/>
      <c r="AG323" s="166"/>
      <c r="AH323" s="166"/>
      <c r="AI323" s="75"/>
      <c r="AJ323" s="75"/>
      <c r="AK323" s="75"/>
      <c r="AL323" s="75"/>
      <c r="AM323" s="75"/>
      <c r="AN323" s="75"/>
      <c r="AO323" s="284">
        <f t="shared" si="19"/>
        <v>0</v>
      </c>
      <c r="AP323" s="613"/>
      <c r="AR323" s="409"/>
    </row>
    <row r="324" spans="2:44" s="83" customFormat="1" ht="17.25" customHeight="1">
      <c r="B324" s="82" t="s">
        <v>88</v>
      </c>
      <c r="C324" s="82"/>
      <c r="D324" s="81"/>
      <c r="E324" s="81"/>
      <c r="F324" s="81"/>
      <c r="G324" s="81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75"/>
      <c r="AD324" s="75"/>
      <c r="AE324" s="75"/>
      <c r="AF324" s="75"/>
      <c r="AG324" s="166"/>
      <c r="AH324" s="166"/>
      <c r="AI324" s="75"/>
      <c r="AJ324" s="75"/>
      <c r="AK324" s="75"/>
      <c r="AL324" s="75"/>
      <c r="AM324" s="75"/>
      <c r="AN324" s="75"/>
      <c r="AO324" s="284">
        <f t="shared" si="19"/>
        <v>0</v>
      </c>
      <c r="AP324" s="613"/>
      <c r="AR324" s="409"/>
    </row>
    <row r="325" spans="2:44" s="83" customFormat="1" ht="17.25" customHeight="1">
      <c r="B325" s="82" t="s">
        <v>88</v>
      </c>
      <c r="C325" s="82"/>
      <c r="D325" s="81"/>
      <c r="E325" s="81"/>
      <c r="F325" s="81"/>
      <c r="G325" s="81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75"/>
      <c r="AD325" s="75"/>
      <c r="AE325" s="75"/>
      <c r="AF325" s="75"/>
      <c r="AG325" s="166"/>
      <c r="AH325" s="166"/>
      <c r="AI325" s="75"/>
      <c r="AJ325" s="75"/>
      <c r="AK325" s="75"/>
      <c r="AL325" s="75"/>
      <c r="AM325" s="75"/>
      <c r="AN325" s="75"/>
      <c r="AO325" s="284">
        <f t="shared" si="19"/>
        <v>0</v>
      </c>
      <c r="AP325" s="613"/>
      <c r="AR325" s="409"/>
    </row>
    <row r="326" spans="2:44" s="83" customFormat="1" ht="17.25" customHeight="1">
      <c r="B326" s="82" t="s">
        <v>88</v>
      </c>
      <c r="C326" s="82"/>
      <c r="D326" s="81"/>
      <c r="E326" s="81"/>
      <c r="F326" s="81"/>
      <c r="G326" s="81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75"/>
      <c r="AD326" s="75"/>
      <c r="AE326" s="75"/>
      <c r="AF326" s="75"/>
      <c r="AG326" s="166"/>
      <c r="AH326" s="166"/>
      <c r="AI326" s="75"/>
      <c r="AJ326" s="75"/>
      <c r="AK326" s="75"/>
      <c r="AL326" s="75"/>
      <c r="AM326" s="75"/>
      <c r="AN326" s="75"/>
      <c r="AO326" s="284">
        <f t="shared" si="19"/>
        <v>0</v>
      </c>
      <c r="AP326" s="613"/>
      <c r="AR326" s="409"/>
    </row>
    <row r="327" spans="2:44" s="83" customFormat="1" ht="17.25" customHeight="1">
      <c r="B327" s="82" t="s">
        <v>88</v>
      </c>
      <c r="C327" s="82"/>
      <c r="D327" s="81"/>
      <c r="E327" s="81"/>
      <c r="F327" s="81"/>
      <c r="G327" s="81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75"/>
      <c r="AD327" s="75"/>
      <c r="AE327" s="75"/>
      <c r="AF327" s="75"/>
      <c r="AG327" s="75"/>
      <c r="AH327" s="75"/>
      <c r="AI327" s="75"/>
      <c r="AJ327" s="75"/>
      <c r="AK327" s="75"/>
      <c r="AL327" s="75"/>
      <c r="AM327" s="75"/>
      <c r="AN327" s="166"/>
      <c r="AO327" s="284">
        <f t="shared" si="19"/>
        <v>0</v>
      </c>
      <c r="AP327" s="613"/>
      <c r="AR327" s="409"/>
    </row>
    <row r="328" spans="2:44" s="83" customFormat="1" ht="17.25" customHeight="1">
      <c r="B328" s="82" t="s">
        <v>88</v>
      </c>
      <c r="C328" s="82"/>
      <c r="D328" s="81"/>
      <c r="E328" s="81"/>
      <c r="F328" s="81"/>
      <c r="G328" s="81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75"/>
      <c r="AD328" s="75"/>
      <c r="AE328" s="75"/>
      <c r="AF328" s="75"/>
      <c r="AG328" s="75"/>
      <c r="AH328" s="75"/>
      <c r="AI328" s="75"/>
      <c r="AJ328" s="75"/>
      <c r="AK328" s="75"/>
      <c r="AL328" s="75"/>
      <c r="AM328" s="75"/>
      <c r="AN328" s="75"/>
      <c r="AO328" s="284">
        <f t="shared" si="19"/>
        <v>0</v>
      </c>
      <c r="AP328" s="613"/>
      <c r="AR328" s="409"/>
    </row>
    <row r="329" spans="2:44" s="83" customFormat="1" ht="18" customHeight="1">
      <c r="B329" s="82" t="s">
        <v>88</v>
      </c>
      <c r="C329" s="82"/>
      <c r="D329" s="81"/>
      <c r="E329" s="81"/>
      <c r="F329" s="81"/>
      <c r="G329" s="81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75"/>
      <c r="AD329" s="75"/>
      <c r="AE329" s="75"/>
      <c r="AF329" s="75"/>
      <c r="AG329" s="166"/>
      <c r="AH329" s="75"/>
      <c r="AI329" s="75"/>
      <c r="AJ329" s="75"/>
      <c r="AK329" s="75"/>
      <c r="AL329" s="75"/>
      <c r="AM329" s="75"/>
      <c r="AN329" s="75"/>
      <c r="AO329" s="284">
        <f t="shared" si="19"/>
        <v>0</v>
      </c>
      <c r="AP329" s="613"/>
      <c r="AR329" s="409"/>
    </row>
    <row r="330" spans="2:44" s="83" customFormat="1" ht="16.5" customHeight="1">
      <c r="B330" s="82" t="s">
        <v>88</v>
      </c>
      <c r="C330" s="82"/>
      <c r="D330" s="81"/>
      <c r="E330" s="81"/>
      <c r="F330" s="81"/>
      <c r="G330" s="81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75"/>
      <c r="AD330" s="75"/>
      <c r="AE330" s="75"/>
      <c r="AF330" s="75"/>
      <c r="AG330" s="75"/>
      <c r="AH330" s="75"/>
      <c r="AI330" s="75"/>
      <c r="AJ330" s="75"/>
      <c r="AK330" s="75"/>
      <c r="AL330" s="75"/>
      <c r="AM330" s="75"/>
      <c r="AN330" s="75"/>
      <c r="AO330" s="284">
        <f t="shared" si="19"/>
        <v>0</v>
      </c>
      <c r="AP330" s="613"/>
      <c r="AR330" s="409"/>
    </row>
    <row r="331" spans="2:44" s="83" customFormat="1" ht="16.5" customHeight="1">
      <c r="B331" s="82" t="s">
        <v>88</v>
      </c>
      <c r="C331" s="82"/>
      <c r="D331" s="81"/>
      <c r="E331" s="81"/>
      <c r="F331" s="81"/>
      <c r="G331" s="81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75"/>
      <c r="AD331" s="75"/>
      <c r="AE331" s="75"/>
      <c r="AF331" s="75"/>
      <c r="AG331" s="75"/>
      <c r="AH331" s="75"/>
      <c r="AI331" s="75"/>
      <c r="AJ331" s="75"/>
      <c r="AK331" s="75"/>
      <c r="AL331" s="75"/>
      <c r="AM331" s="75"/>
      <c r="AN331" s="75"/>
      <c r="AO331" s="284">
        <f t="shared" si="19"/>
        <v>0</v>
      </c>
      <c r="AP331" s="613"/>
      <c r="AR331" s="409"/>
    </row>
    <row r="332" spans="2:44" s="83" customFormat="1" ht="16.5" customHeight="1">
      <c r="B332" s="82" t="s">
        <v>88</v>
      </c>
      <c r="C332" s="82"/>
      <c r="D332" s="81"/>
      <c r="E332" s="81"/>
      <c r="F332" s="81"/>
      <c r="G332" s="81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75"/>
      <c r="AD332" s="75"/>
      <c r="AE332" s="75"/>
      <c r="AF332" s="75"/>
      <c r="AG332" s="75"/>
      <c r="AH332" s="75"/>
      <c r="AI332" s="75"/>
      <c r="AJ332" s="75"/>
      <c r="AK332" s="75"/>
      <c r="AL332" s="75"/>
      <c r="AM332" s="75"/>
      <c r="AN332" s="75"/>
      <c r="AO332" s="284">
        <f t="shared" si="19"/>
        <v>0</v>
      </c>
      <c r="AP332" s="613"/>
      <c r="AR332" s="409"/>
    </row>
    <row r="333" spans="2:44" s="83" customFormat="1" ht="16.5" customHeight="1">
      <c r="B333" s="82" t="s">
        <v>88</v>
      </c>
      <c r="C333" s="82"/>
      <c r="D333" s="81"/>
      <c r="E333" s="81"/>
      <c r="F333" s="81"/>
      <c r="G333" s="81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75"/>
      <c r="AD333" s="75"/>
      <c r="AE333" s="75"/>
      <c r="AF333" s="75"/>
      <c r="AG333" s="75"/>
      <c r="AH333" s="75"/>
      <c r="AI333" s="75"/>
      <c r="AJ333" s="75"/>
      <c r="AK333" s="75"/>
      <c r="AL333" s="75"/>
      <c r="AM333" s="75"/>
      <c r="AN333" s="75"/>
      <c r="AO333" s="284">
        <f t="shared" si="19"/>
        <v>0</v>
      </c>
      <c r="AP333" s="613"/>
      <c r="AR333" s="409"/>
    </row>
    <row r="334" spans="2:44" s="83" customFormat="1" ht="16.5" customHeight="1">
      <c r="B334" s="82" t="s">
        <v>88</v>
      </c>
      <c r="C334" s="82"/>
      <c r="D334" s="81"/>
      <c r="E334" s="81"/>
      <c r="F334" s="81"/>
      <c r="G334" s="81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75"/>
      <c r="AD334" s="75"/>
      <c r="AE334" s="75"/>
      <c r="AF334" s="75"/>
      <c r="AG334" s="75"/>
      <c r="AH334" s="75"/>
      <c r="AI334" s="75"/>
      <c r="AJ334" s="75"/>
      <c r="AK334" s="75"/>
      <c r="AL334" s="75"/>
      <c r="AM334" s="75"/>
      <c r="AN334" s="75"/>
      <c r="AO334" s="284">
        <f t="shared" si="19"/>
        <v>0</v>
      </c>
      <c r="AP334" s="613"/>
      <c r="AR334" s="409"/>
    </row>
    <row r="335" spans="2:44" s="83" customFormat="1" ht="16.5" customHeight="1">
      <c r="B335" s="82" t="s">
        <v>88</v>
      </c>
      <c r="C335" s="82"/>
      <c r="D335" s="81"/>
      <c r="E335" s="81"/>
      <c r="F335" s="81"/>
      <c r="G335" s="81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75"/>
      <c r="AD335" s="75"/>
      <c r="AE335" s="75"/>
      <c r="AF335" s="75"/>
      <c r="AG335" s="75"/>
      <c r="AH335" s="75"/>
      <c r="AI335" s="75"/>
      <c r="AJ335" s="75"/>
      <c r="AK335" s="75"/>
      <c r="AL335" s="75"/>
      <c r="AM335" s="75"/>
      <c r="AN335" s="75"/>
      <c r="AO335" s="284">
        <f t="shared" si="19"/>
        <v>0</v>
      </c>
      <c r="AP335" s="613"/>
      <c r="AR335" s="409"/>
    </row>
    <row r="336" spans="2:44" s="83" customFormat="1" ht="16.5" customHeight="1">
      <c r="B336" s="82" t="s">
        <v>88</v>
      </c>
      <c r="C336" s="82"/>
      <c r="D336" s="81"/>
      <c r="E336" s="81"/>
      <c r="F336" s="81"/>
      <c r="G336" s="81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75"/>
      <c r="AD336" s="75"/>
      <c r="AE336" s="75"/>
      <c r="AF336" s="75"/>
      <c r="AG336" s="75"/>
      <c r="AH336" s="75"/>
      <c r="AI336" s="75"/>
      <c r="AJ336" s="75"/>
      <c r="AK336" s="75"/>
      <c r="AL336" s="75"/>
      <c r="AM336" s="75"/>
      <c r="AN336" s="75"/>
      <c r="AO336" s="284">
        <f t="shared" si="19"/>
        <v>0</v>
      </c>
      <c r="AP336" s="613"/>
      <c r="AR336" s="409"/>
    </row>
    <row r="337" spans="2:44" s="83" customFormat="1" ht="16.5" customHeight="1">
      <c r="B337" s="82" t="s">
        <v>88</v>
      </c>
      <c r="C337" s="82"/>
      <c r="D337" s="81"/>
      <c r="E337" s="81"/>
      <c r="F337" s="81"/>
      <c r="G337" s="81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75"/>
      <c r="AD337" s="75"/>
      <c r="AE337" s="75"/>
      <c r="AF337" s="75"/>
      <c r="AG337" s="75"/>
      <c r="AH337" s="75"/>
      <c r="AI337" s="75"/>
      <c r="AJ337" s="75"/>
      <c r="AK337" s="75"/>
      <c r="AL337" s="75"/>
      <c r="AM337" s="75"/>
      <c r="AN337" s="75"/>
      <c r="AO337" s="284">
        <f t="shared" si="19"/>
        <v>0</v>
      </c>
      <c r="AP337" s="613"/>
      <c r="AR337" s="409"/>
    </row>
    <row r="338" spans="2:44" s="83" customFormat="1" ht="17.25" customHeight="1">
      <c r="B338" s="82" t="s">
        <v>88</v>
      </c>
      <c r="C338" s="82"/>
      <c r="D338" s="81"/>
      <c r="E338" s="81"/>
      <c r="F338" s="81"/>
      <c r="G338" s="81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75"/>
      <c r="AD338" s="75"/>
      <c r="AE338" s="75"/>
      <c r="AF338" s="75"/>
      <c r="AG338" s="166"/>
      <c r="AH338" s="75"/>
      <c r="AI338" s="75"/>
      <c r="AJ338" s="75"/>
      <c r="AK338" s="75"/>
      <c r="AL338" s="75"/>
      <c r="AM338" s="75"/>
      <c r="AN338" s="75"/>
      <c r="AO338" s="284">
        <f t="shared" si="19"/>
        <v>0</v>
      </c>
      <c r="AP338" s="613"/>
      <c r="AR338" s="409"/>
    </row>
    <row r="339" spans="2:44" s="83" customFormat="1" ht="17.25" customHeight="1" thickBot="1">
      <c r="B339" s="82" t="s">
        <v>88</v>
      </c>
      <c r="C339" s="82"/>
      <c r="D339" s="81"/>
      <c r="E339" s="81"/>
      <c r="F339" s="81"/>
      <c r="G339" s="81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75"/>
      <c r="AD339" s="75"/>
      <c r="AE339" s="75"/>
      <c r="AF339" s="75"/>
      <c r="AG339" s="75"/>
      <c r="AH339" s="75"/>
      <c r="AI339" s="75"/>
      <c r="AJ339" s="75"/>
      <c r="AK339" s="75"/>
      <c r="AL339" s="75"/>
      <c r="AM339" s="75"/>
      <c r="AN339" s="75"/>
      <c r="AO339" s="284">
        <f t="shared" si="19"/>
        <v>0</v>
      </c>
      <c r="AP339" s="614"/>
      <c r="AR339" s="409"/>
    </row>
    <row r="340" spans="2:44" s="83" customFormat="1" ht="18" customHeight="1">
      <c r="B340" s="82" t="s">
        <v>88</v>
      </c>
      <c r="C340" s="82"/>
      <c r="D340" s="80"/>
      <c r="E340" s="81"/>
      <c r="F340" s="81"/>
      <c r="G340" s="81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75"/>
      <c r="AD340" s="75"/>
      <c r="AE340" s="75"/>
      <c r="AF340" s="75"/>
      <c r="AG340" s="75"/>
      <c r="AH340" s="75"/>
      <c r="AI340" s="75"/>
      <c r="AJ340" s="75"/>
      <c r="AK340" s="75"/>
      <c r="AL340" s="75"/>
      <c r="AM340" s="75"/>
      <c r="AN340" s="75"/>
      <c r="AO340" s="284">
        <f t="shared" si="19"/>
        <v>0</v>
      </c>
      <c r="AP340" s="199"/>
      <c r="AR340" s="409"/>
    </row>
    <row r="341" spans="2:44" s="83" customFormat="1" ht="16.5" customHeight="1">
      <c r="B341" s="82" t="s">
        <v>88</v>
      </c>
      <c r="C341" s="82"/>
      <c r="D341" s="80"/>
      <c r="E341" s="81"/>
      <c r="F341" s="81"/>
      <c r="G341" s="81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75"/>
      <c r="AD341" s="75"/>
      <c r="AE341" s="75"/>
      <c r="AF341" s="75"/>
      <c r="AG341" s="75"/>
      <c r="AH341" s="75"/>
      <c r="AI341" s="75"/>
      <c r="AJ341" s="75"/>
      <c r="AK341" s="75"/>
      <c r="AL341" s="75"/>
      <c r="AM341" s="75"/>
      <c r="AN341" s="75"/>
      <c r="AO341" s="284">
        <f t="shared" si="19"/>
        <v>0</v>
      </c>
      <c r="AP341" s="191"/>
    </row>
    <row r="342" spans="2:44" s="83" customFormat="1" ht="16.5" customHeight="1">
      <c r="B342" s="82" t="s">
        <v>88</v>
      </c>
      <c r="C342" s="82"/>
      <c r="D342" s="80"/>
      <c r="E342" s="81"/>
      <c r="F342" s="81"/>
      <c r="G342" s="81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75"/>
      <c r="AD342" s="75"/>
      <c r="AE342" s="75"/>
      <c r="AF342" s="75"/>
      <c r="AG342" s="75"/>
      <c r="AH342" s="75"/>
      <c r="AI342" s="75"/>
      <c r="AJ342" s="75"/>
      <c r="AK342" s="75"/>
      <c r="AL342" s="75"/>
      <c r="AM342" s="75"/>
      <c r="AN342" s="75"/>
      <c r="AO342" s="284">
        <f t="shared" si="19"/>
        <v>0</v>
      </c>
      <c r="AP342" s="191"/>
    </row>
    <row r="343" spans="2:44" s="83" customFormat="1" ht="16.5" customHeight="1">
      <c r="B343" s="82" t="s">
        <v>88</v>
      </c>
      <c r="C343" s="82"/>
      <c r="D343" s="80"/>
      <c r="E343" s="81"/>
      <c r="F343" s="81"/>
      <c r="G343" s="81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75"/>
      <c r="AD343" s="75"/>
      <c r="AE343" s="75"/>
      <c r="AF343" s="75"/>
      <c r="AG343" s="75"/>
      <c r="AH343" s="75"/>
      <c r="AI343" s="75"/>
      <c r="AJ343" s="75"/>
      <c r="AK343" s="75"/>
      <c r="AL343" s="75"/>
      <c r="AM343" s="75"/>
      <c r="AN343" s="75"/>
      <c r="AO343" s="284">
        <f t="shared" si="19"/>
        <v>0</v>
      </c>
      <c r="AP343" s="191"/>
    </row>
    <row r="344" spans="2:44" s="83" customFormat="1" ht="16.5" customHeight="1">
      <c r="B344" s="82" t="s">
        <v>88</v>
      </c>
      <c r="C344" s="82"/>
      <c r="D344" s="80"/>
      <c r="E344" s="81"/>
      <c r="F344" s="81"/>
      <c r="G344" s="81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75"/>
      <c r="AD344" s="75"/>
      <c r="AE344" s="75"/>
      <c r="AF344" s="75"/>
      <c r="AG344" s="75"/>
      <c r="AH344" s="75"/>
      <c r="AI344" s="75"/>
      <c r="AJ344" s="75"/>
      <c r="AK344" s="75"/>
      <c r="AL344" s="75"/>
      <c r="AM344" s="75"/>
      <c r="AN344" s="75"/>
      <c r="AO344" s="284">
        <f t="shared" si="19"/>
        <v>0</v>
      </c>
      <c r="AP344" s="191"/>
    </row>
    <row r="345" spans="2:44" s="83" customFormat="1" ht="16.5" customHeight="1">
      <c r="B345" s="82" t="s">
        <v>88</v>
      </c>
      <c r="C345" s="82"/>
      <c r="D345" s="80"/>
      <c r="E345" s="81"/>
      <c r="F345" s="81"/>
      <c r="G345" s="81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75"/>
      <c r="AD345" s="75"/>
      <c r="AE345" s="75"/>
      <c r="AF345" s="75"/>
      <c r="AG345" s="75"/>
      <c r="AH345" s="75"/>
      <c r="AI345" s="75"/>
      <c r="AJ345" s="75"/>
      <c r="AK345" s="75"/>
      <c r="AL345" s="75"/>
      <c r="AM345" s="75"/>
      <c r="AN345" s="75"/>
      <c r="AO345" s="284">
        <f t="shared" ref="AO345:AO384" si="20">SUM(I345:AN345)</f>
        <v>0</v>
      </c>
      <c r="AP345" s="191"/>
    </row>
    <row r="346" spans="2:44" s="83" customFormat="1" ht="16.5" customHeight="1">
      <c r="B346" s="82" t="s">
        <v>88</v>
      </c>
      <c r="C346" s="82"/>
      <c r="D346" s="80"/>
      <c r="E346" s="81"/>
      <c r="F346" s="81"/>
      <c r="G346" s="81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75"/>
      <c r="AD346" s="75"/>
      <c r="AE346" s="75"/>
      <c r="AF346" s="75"/>
      <c r="AG346" s="75"/>
      <c r="AH346" s="75"/>
      <c r="AI346" s="75"/>
      <c r="AJ346" s="75"/>
      <c r="AK346" s="75"/>
      <c r="AL346" s="75"/>
      <c r="AM346" s="75"/>
      <c r="AN346" s="75"/>
      <c r="AO346" s="284">
        <f t="shared" si="20"/>
        <v>0</v>
      </c>
      <c r="AP346" s="191"/>
    </row>
    <row r="347" spans="2:44" s="83" customFormat="1" ht="17.25" customHeight="1">
      <c r="B347" s="82" t="s">
        <v>88</v>
      </c>
      <c r="C347" s="82"/>
      <c r="D347" s="80"/>
      <c r="E347" s="81"/>
      <c r="F347" s="81"/>
      <c r="G347" s="81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75"/>
      <c r="AD347" s="166"/>
      <c r="AE347" s="75"/>
      <c r="AF347" s="75"/>
      <c r="AG347" s="166"/>
      <c r="AH347" s="75"/>
      <c r="AI347" s="75"/>
      <c r="AJ347" s="75"/>
      <c r="AK347" s="75"/>
      <c r="AL347" s="75"/>
      <c r="AM347" s="75"/>
      <c r="AN347" s="75"/>
      <c r="AO347" s="284">
        <f t="shared" si="20"/>
        <v>0</v>
      </c>
      <c r="AP347" s="191"/>
    </row>
    <row r="348" spans="2:44" s="83" customFormat="1" ht="17.25" customHeight="1">
      <c r="B348" s="82" t="s">
        <v>88</v>
      </c>
      <c r="C348" s="82"/>
      <c r="D348" s="80"/>
      <c r="E348" s="81"/>
      <c r="F348" s="81"/>
      <c r="G348" s="81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75"/>
      <c r="AD348" s="166"/>
      <c r="AE348" s="75"/>
      <c r="AF348" s="75"/>
      <c r="AG348" s="166"/>
      <c r="AH348" s="75"/>
      <c r="AI348" s="75"/>
      <c r="AJ348" s="75"/>
      <c r="AK348" s="75"/>
      <c r="AL348" s="75"/>
      <c r="AM348" s="75"/>
      <c r="AN348" s="75"/>
      <c r="AO348" s="284">
        <f t="shared" si="20"/>
        <v>0</v>
      </c>
      <c r="AP348" s="191"/>
    </row>
    <row r="349" spans="2:44" s="83" customFormat="1" ht="17.25" customHeight="1">
      <c r="B349" s="82" t="s">
        <v>88</v>
      </c>
      <c r="C349" s="82"/>
      <c r="D349" s="80"/>
      <c r="E349" s="81"/>
      <c r="F349" s="81"/>
      <c r="G349" s="81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75"/>
      <c r="AD349" s="75"/>
      <c r="AE349" s="75"/>
      <c r="AF349" s="75"/>
      <c r="AG349" s="166"/>
      <c r="AH349" s="75"/>
      <c r="AI349" s="75"/>
      <c r="AJ349" s="75"/>
      <c r="AK349" s="75"/>
      <c r="AL349" s="75"/>
      <c r="AM349" s="75"/>
      <c r="AN349" s="75"/>
      <c r="AO349" s="284">
        <f t="shared" si="20"/>
        <v>0</v>
      </c>
      <c r="AP349" s="191"/>
    </row>
    <row r="350" spans="2:44" s="83" customFormat="1" ht="17.25" customHeight="1">
      <c r="B350" s="82" t="s">
        <v>88</v>
      </c>
      <c r="C350" s="82"/>
      <c r="D350" s="80"/>
      <c r="E350" s="81"/>
      <c r="F350" s="81"/>
      <c r="G350" s="81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75"/>
      <c r="AD350" s="75"/>
      <c r="AE350" s="75"/>
      <c r="AF350" s="75"/>
      <c r="AG350" s="166"/>
      <c r="AH350" s="75"/>
      <c r="AI350" s="75"/>
      <c r="AJ350" s="75"/>
      <c r="AK350" s="75"/>
      <c r="AL350" s="75"/>
      <c r="AM350" s="75"/>
      <c r="AN350" s="75"/>
      <c r="AO350" s="284">
        <f t="shared" ref="AO350:AO357" si="21">SUM(I350:AN350)</f>
        <v>0</v>
      </c>
      <c r="AP350" s="191"/>
    </row>
    <row r="351" spans="2:44" s="83" customFormat="1" ht="17.25" customHeight="1">
      <c r="B351" s="82" t="s">
        <v>88</v>
      </c>
      <c r="C351" s="82"/>
      <c r="D351" s="80"/>
      <c r="E351" s="81"/>
      <c r="F351" s="81"/>
      <c r="G351" s="81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75"/>
      <c r="AD351" s="75"/>
      <c r="AE351" s="75"/>
      <c r="AF351" s="75"/>
      <c r="AG351" s="166"/>
      <c r="AH351" s="75"/>
      <c r="AI351" s="75"/>
      <c r="AJ351" s="75"/>
      <c r="AK351" s="75"/>
      <c r="AL351" s="75"/>
      <c r="AM351" s="75"/>
      <c r="AN351" s="75"/>
      <c r="AO351" s="284">
        <f t="shared" si="21"/>
        <v>0</v>
      </c>
      <c r="AP351" s="191"/>
    </row>
    <row r="352" spans="2:44" s="83" customFormat="1" ht="17.25" customHeight="1">
      <c r="B352" s="82" t="s">
        <v>88</v>
      </c>
      <c r="C352" s="82"/>
      <c r="D352" s="80"/>
      <c r="E352" s="81"/>
      <c r="F352" s="81"/>
      <c r="G352" s="81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75"/>
      <c r="AD352" s="75"/>
      <c r="AE352" s="75"/>
      <c r="AF352" s="75"/>
      <c r="AG352" s="166"/>
      <c r="AH352" s="75"/>
      <c r="AI352" s="75"/>
      <c r="AJ352" s="75"/>
      <c r="AK352" s="75"/>
      <c r="AL352" s="75"/>
      <c r="AM352" s="75"/>
      <c r="AN352" s="75"/>
      <c r="AO352" s="284">
        <f t="shared" si="21"/>
        <v>0</v>
      </c>
      <c r="AP352" s="191"/>
      <c r="AR352" s="409"/>
    </row>
    <row r="353" spans="2:42" s="83" customFormat="1" ht="17.25" customHeight="1">
      <c r="B353" s="82" t="s">
        <v>88</v>
      </c>
      <c r="C353" s="82"/>
      <c r="D353" s="80"/>
      <c r="E353" s="81"/>
      <c r="F353" s="81"/>
      <c r="G353" s="81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75"/>
      <c r="AD353" s="75"/>
      <c r="AE353" s="75"/>
      <c r="AF353" s="75"/>
      <c r="AG353" s="166"/>
      <c r="AH353" s="75"/>
      <c r="AI353" s="75"/>
      <c r="AJ353" s="75"/>
      <c r="AK353" s="75"/>
      <c r="AL353" s="75"/>
      <c r="AM353" s="75"/>
      <c r="AN353" s="75"/>
      <c r="AO353" s="284">
        <f t="shared" si="21"/>
        <v>0</v>
      </c>
      <c r="AP353" s="191"/>
    </row>
    <row r="354" spans="2:42" s="83" customFormat="1" ht="17.25" customHeight="1">
      <c r="B354" s="82" t="s">
        <v>88</v>
      </c>
      <c r="C354" s="82"/>
      <c r="D354" s="80"/>
      <c r="E354" s="81"/>
      <c r="F354" s="81"/>
      <c r="G354" s="81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75"/>
      <c r="AD354" s="75"/>
      <c r="AE354" s="75"/>
      <c r="AF354" s="75"/>
      <c r="AG354" s="166"/>
      <c r="AH354" s="75"/>
      <c r="AI354" s="75"/>
      <c r="AJ354" s="75"/>
      <c r="AK354" s="75"/>
      <c r="AL354" s="75"/>
      <c r="AM354" s="75"/>
      <c r="AN354" s="75"/>
      <c r="AO354" s="284">
        <f t="shared" si="21"/>
        <v>0</v>
      </c>
      <c r="AP354" s="191"/>
    </row>
    <row r="355" spans="2:42" s="83" customFormat="1" ht="17.25" customHeight="1">
      <c r="B355" s="82" t="s">
        <v>88</v>
      </c>
      <c r="C355" s="82"/>
      <c r="D355" s="80"/>
      <c r="E355" s="81"/>
      <c r="F355" s="81"/>
      <c r="G355" s="81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75"/>
      <c r="AD355" s="75"/>
      <c r="AE355" s="75"/>
      <c r="AF355" s="75"/>
      <c r="AG355" s="166"/>
      <c r="AH355" s="75"/>
      <c r="AI355" s="75"/>
      <c r="AJ355" s="75"/>
      <c r="AK355" s="75"/>
      <c r="AL355" s="75"/>
      <c r="AM355" s="75"/>
      <c r="AN355" s="75"/>
      <c r="AO355" s="284">
        <f t="shared" si="21"/>
        <v>0</v>
      </c>
      <c r="AP355" s="191"/>
    </row>
    <row r="356" spans="2:42" s="83" customFormat="1" ht="17.25" customHeight="1">
      <c r="B356" s="82" t="s">
        <v>88</v>
      </c>
      <c r="C356" s="82"/>
      <c r="D356" s="80"/>
      <c r="E356" s="81"/>
      <c r="F356" s="81"/>
      <c r="G356" s="81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75"/>
      <c r="AD356" s="75"/>
      <c r="AE356" s="75"/>
      <c r="AF356" s="75"/>
      <c r="AG356" s="166"/>
      <c r="AH356" s="75"/>
      <c r="AI356" s="75"/>
      <c r="AJ356" s="75"/>
      <c r="AK356" s="75"/>
      <c r="AL356" s="75"/>
      <c r="AM356" s="75"/>
      <c r="AN356" s="75"/>
      <c r="AO356" s="284">
        <f t="shared" si="21"/>
        <v>0</v>
      </c>
      <c r="AP356" s="191"/>
    </row>
    <row r="357" spans="2:42" s="83" customFormat="1" ht="18" customHeight="1" thickBot="1">
      <c r="B357" s="82" t="s">
        <v>88</v>
      </c>
      <c r="C357" s="82"/>
      <c r="D357" s="80"/>
      <c r="E357" s="81"/>
      <c r="F357" s="81"/>
      <c r="G357" s="81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75"/>
      <c r="AD357" s="75"/>
      <c r="AE357" s="75"/>
      <c r="AF357" s="75"/>
      <c r="AG357" s="166"/>
      <c r="AH357" s="75"/>
      <c r="AI357" s="75"/>
      <c r="AJ357" s="75"/>
      <c r="AK357" s="75"/>
      <c r="AL357" s="75"/>
      <c r="AM357" s="75"/>
      <c r="AN357" s="75"/>
      <c r="AO357" s="284">
        <f t="shared" si="21"/>
        <v>0</v>
      </c>
      <c r="AP357" s="231"/>
    </row>
    <row r="358" spans="2:42" s="83" customFormat="1" ht="17.25" customHeight="1">
      <c r="B358" s="82" t="s">
        <v>88</v>
      </c>
      <c r="C358" s="82"/>
      <c r="D358" s="80"/>
      <c r="E358" s="81"/>
      <c r="F358" s="81"/>
      <c r="G358" s="81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75"/>
      <c r="AD358" s="75"/>
      <c r="AE358" s="75"/>
      <c r="AF358" s="75"/>
      <c r="AG358" s="166"/>
      <c r="AH358" s="75"/>
      <c r="AI358" s="75"/>
      <c r="AJ358" s="75"/>
      <c r="AK358" s="75"/>
      <c r="AL358" s="75"/>
      <c r="AM358" s="75"/>
      <c r="AN358" s="75"/>
      <c r="AO358" s="284">
        <f t="shared" si="20"/>
        <v>0</v>
      </c>
      <c r="AP358" s="561">
        <f>SUM(AO358:AO393)</f>
        <v>0</v>
      </c>
    </row>
    <row r="359" spans="2:42" s="83" customFormat="1" ht="17.25" customHeight="1">
      <c r="B359" s="82" t="s">
        <v>88</v>
      </c>
      <c r="C359" s="82"/>
      <c r="D359" s="80"/>
      <c r="E359" s="81"/>
      <c r="F359" s="81"/>
      <c r="G359" s="81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75"/>
      <c r="AD359" s="75"/>
      <c r="AE359" s="75"/>
      <c r="AF359" s="75"/>
      <c r="AG359" s="166"/>
      <c r="AH359" s="75"/>
      <c r="AI359" s="75"/>
      <c r="AJ359" s="75"/>
      <c r="AK359" s="75"/>
      <c r="AL359" s="75"/>
      <c r="AM359" s="75"/>
      <c r="AN359" s="75"/>
      <c r="AO359" s="284">
        <f t="shared" si="20"/>
        <v>0</v>
      </c>
      <c r="AP359" s="562"/>
    </row>
    <row r="360" spans="2:42" s="83" customFormat="1" ht="17.25" customHeight="1">
      <c r="B360" s="82" t="s">
        <v>88</v>
      </c>
      <c r="C360" s="82"/>
      <c r="D360" s="80"/>
      <c r="E360" s="81"/>
      <c r="F360" s="81"/>
      <c r="G360" s="81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75"/>
      <c r="AD360" s="75"/>
      <c r="AE360" s="75"/>
      <c r="AF360" s="75"/>
      <c r="AG360" s="166"/>
      <c r="AH360" s="75"/>
      <c r="AI360" s="75"/>
      <c r="AJ360" s="75"/>
      <c r="AK360" s="75"/>
      <c r="AL360" s="75"/>
      <c r="AM360" s="75"/>
      <c r="AN360" s="75"/>
      <c r="AO360" s="284">
        <f t="shared" si="20"/>
        <v>0</v>
      </c>
      <c r="AP360" s="562"/>
    </row>
    <row r="361" spans="2:42" s="83" customFormat="1" ht="17.25" customHeight="1">
      <c r="B361" s="82" t="s">
        <v>88</v>
      </c>
      <c r="C361" s="82"/>
      <c r="D361" s="80"/>
      <c r="E361" s="81"/>
      <c r="F361" s="81"/>
      <c r="G361" s="81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75"/>
      <c r="AD361" s="75"/>
      <c r="AE361" s="75"/>
      <c r="AF361" s="75"/>
      <c r="AG361" s="166"/>
      <c r="AH361" s="75"/>
      <c r="AI361" s="75"/>
      <c r="AJ361" s="75"/>
      <c r="AK361" s="75"/>
      <c r="AL361" s="75"/>
      <c r="AM361" s="75"/>
      <c r="AN361" s="75"/>
      <c r="AO361" s="284">
        <f t="shared" si="20"/>
        <v>0</v>
      </c>
      <c r="AP361" s="562"/>
    </row>
    <row r="362" spans="2:42" s="83" customFormat="1" ht="17.25" customHeight="1">
      <c r="B362" s="82" t="s">
        <v>88</v>
      </c>
      <c r="C362" s="82"/>
      <c r="D362" s="80"/>
      <c r="E362" s="81"/>
      <c r="F362" s="81"/>
      <c r="G362" s="81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75"/>
      <c r="AD362" s="75"/>
      <c r="AE362" s="75"/>
      <c r="AF362" s="75"/>
      <c r="AG362" s="166"/>
      <c r="AH362" s="75"/>
      <c r="AI362" s="75"/>
      <c r="AJ362" s="75"/>
      <c r="AK362" s="75"/>
      <c r="AL362" s="75"/>
      <c r="AM362" s="75"/>
      <c r="AN362" s="75"/>
      <c r="AO362" s="284">
        <f t="shared" si="20"/>
        <v>0</v>
      </c>
      <c r="AP362" s="562"/>
    </row>
    <row r="363" spans="2:42" s="83" customFormat="1" ht="17.25" customHeight="1">
      <c r="B363" s="82" t="s">
        <v>88</v>
      </c>
      <c r="C363" s="82"/>
      <c r="D363" s="80"/>
      <c r="E363" s="81"/>
      <c r="F363" s="81"/>
      <c r="G363" s="81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75"/>
      <c r="AD363" s="75"/>
      <c r="AE363" s="75"/>
      <c r="AF363" s="75"/>
      <c r="AG363" s="166"/>
      <c r="AH363" s="75"/>
      <c r="AI363" s="75"/>
      <c r="AJ363" s="75"/>
      <c r="AK363" s="75"/>
      <c r="AL363" s="75"/>
      <c r="AM363" s="75"/>
      <c r="AN363" s="75"/>
      <c r="AO363" s="284">
        <f t="shared" si="20"/>
        <v>0</v>
      </c>
      <c r="AP363" s="562"/>
    </row>
    <row r="364" spans="2:42" s="83" customFormat="1" ht="17.25" customHeight="1">
      <c r="B364" s="82" t="s">
        <v>88</v>
      </c>
      <c r="C364" s="82"/>
      <c r="D364" s="80"/>
      <c r="E364" s="81"/>
      <c r="F364" s="81"/>
      <c r="G364" s="81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75"/>
      <c r="AD364" s="75"/>
      <c r="AE364" s="75"/>
      <c r="AF364" s="75"/>
      <c r="AG364" s="166"/>
      <c r="AH364" s="75"/>
      <c r="AI364" s="75"/>
      <c r="AJ364" s="75"/>
      <c r="AK364" s="75"/>
      <c r="AL364" s="75"/>
      <c r="AM364" s="75"/>
      <c r="AN364" s="75"/>
      <c r="AO364" s="284">
        <f t="shared" si="20"/>
        <v>0</v>
      </c>
      <c r="AP364" s="562"/>
    </row>
    <row r="365" spans="2:42" s="83" customFormat="1" ht="17.25" customHeight="1">
      <c r="B365" s="82" t="s">
        <v>88</v>
      </c>
      <c r="C365" s="82"/>
      <c r="D365" s="80"/>
      <c r="E365" s="81"/>
      <c r="F365" s="81"/>
      <c r="G365" s="81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75"/>
      <c r="AD365" s="75"/>
      <c r="AE365" s="75"/>
      <c r="AF365" s="75"/>
      <c r="AG365" s="166"/>
      <c r="AH365" s="75"/>
      <c r="AI365" s="75"/>
      <c r="AJ365" s="75"/>
      <c r="AK365" s="75"/>
      <c r="AL365" s="75"/>
      <c r="AM365" s="75"/>
      <c r="AN365" s="75"/>
      <c r="AO365" s="284">
        <f t="shared" si="20"/>
        <v>0</v>
      </c>
      <c r="AP365" s="562"/>
    </row>
    <row r="366" spans="2:42" s="83" customFormat="1" ht="17.25" customHeight="1">
      <c r="B366" s="82" t="s">
        <v>88</v>
      </c>
      <c r="C366" s="82"/>
      <c r="D366" s="80"/>
      <c r="E366" s="81"/>
      <c r="F366" s="81"/>
      <c r="G366" s="81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75"/>
      <c r="AD366" s="75"/>
      <c r="AE366" s="75"/>
      <c r="AF366" s="75"/>
      <c r="AG366" s="166"/>
      <c r="AH366" s="75"/>
      <c r="AI366" s="75"/>
      <c r="AJ366" s="75"/>
      <c r="AK366" s="75"/>
      <c r="AL366" s="75"/>
      <c r="AM366" s="75"/>
      <c r="AN366" s="75"/>
      <c r="AO366" s="284">
        <f t="shared" si="20"/>
        <v>0</v>
      </c>
      <c r="AP366" s="562"/>
    </row>
    <row r="367" spans="2:42" s="83" customFormat="1" ht="17.25" customHeight="1">
      <c r="B367" s="82" t="s">
        <v>88</v>
      </c>
      <c r="C367" s="82"/>
      <c r="D367" s="80"/>
      <c r="E367" s="81"/>
      <c r="F367" s="81"/>
      <c r="G367" s="81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75"/>
      <c r="AD367" s="75"/>
      <c r="AE367" s="75"/>
      <c r="AF367" s="75"/>
      <c r="AG367" s="166"/>
      <c r="AH367" s="75"/>
      <c r="AI367" s="75"/>
      <c r="AJ367" s="75"/>
      <c r="AK367" s="75"/>
      <c r="AL367" s="75"/>
      <c r="AM367" s="75"/>
      <c r="AN367" s="75"/>
      <c r="AO367" s="284">
        <f t="shared" si="20"/>
        <v>0</v>
      </c>
      <c r="AP367" s="562"/>
    </row>
    <row r="368" spans="2:42" s="83" customFormat="1" ht="17.25" customHeight="1">
      <c r="B368" s="82" t="s">
        <v>88</v>
      </c>
      <c r="C368" s="82"/>
      <c r="D368" s="80"/>
      <c r="E368" s="81"/>
      <c r="F368" s="81"/>
      <c r="G368" s="81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75"/>
      <c r="AD368" s="75"/>
      <c r="AE368" s="75"/>
      <c r="AF368" s="75"/>
      <c r="AG368" s="166"/>
      <c r="AH368" s="75"/>
      <c r="AI368" s="75"/>
      <c r="AJ368" s="75"/>
      <c r="AK368" s="75"/>
      <c r="AL368" s="75"/>
      <c r="AM368" s="75"/>
      <c r="AN368" s="75"/>
      <c r="AO368" s="284">
        <f t="shared" si="20"/>
        <v>0</v>
      </c>
      <c r="AP368" s="562"/>
    </row>
    <row r="369" spans="2:42" s="83" customFormat="1" ht="17.25" customHeight="1">
      <c r="B369" s="82" t="s">
        <v>88</v>
      </c>
      <c r="C369" s="82"/>
      <c r="D369" s="80"/>
      <c r="E369" s="81"/>
      <c r="F369" s="81"/>
      <c r="G369" s="81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75"/>
      <c r="AD369" s="75"/>
      <c r="AE369" s="75"/>
      <c r="AF369" s="75"/>
      <c r="AG369" s="166"/>
      <c r="AH369" s="75"/>
      <c r="AI369" s="75"/>
      <c r="AJ369" s="75"/>
      <c r="AK369" s="75"/>
      <c r="AL369" s="75"/>
      <c r="AM369" s="75"/>
      <c r="AN369" s="75"/>
      <c r="AO369" s="284">
        <f t="shared" si="20"/>
        <v>0</v>
      </c>
      <c r="AP369" s="562"/>
    </row>
    <row r="370" spans="2:42" s="83" customFormat="1" ht="17.25" customHeight="1">
      <c r="B370" s="82" t="s">
        <v>88</v>
      </c>
      <c r="C370" s="82"/>
      <c r="D370" s="80"/>
      <c r="E370" s="81"/>
      <c r="F370" s="81"/>
      <c r="G370" s="81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75"/>
      <c r="AD370" s="75"/>
      <c r="AE370" s="75"/>
      <c r="AF370" s="75"/>
      <c r="AG370" s="166"/>
      <c r="AH370" s="75"/>
      <c r="AI370" s="75"/>
      <c r="AJ370" s="75"/>
      <c r="AK370" s="75"/>
      <c r="AL370" s="75"/>
      <c r="AM370" s="75"/>
      <c r="AN370" s="75"/>
      <c r="AO370" s="284">
        <f t="shared" si="20"/>
        <v>0</v>
      </c>
      <c r="AP370" s="562"/>
    </row>
    <row r="371" spans="2:42" s="83" customFormat="1" ht="17.25" customHeight="1">
      <c r="B371" s="82" t="s">
        <v>88</v>
      </c>
      <c r="C371" s="82"/>
      <c r="D371" s="80"/>
      <c r="E371" s="81"/>
      <c r="F371" s="81"/>
      <c r="G371" s="81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75"/>
      <c r="AD371" s="75"/>
      <c r="AE371" s="75"/>
      <c r="AF371" s="75"/>
      <c r="AG371" s="166"/>
      <c r="AH371" s="75"/>
      <c r="AI371" s="75"/>
      <c r="AJ371" s="75"/>
      <c r="AK371" s="75"/>
      <c r="AL371" s="75"/>
      <c r="AM371" s="75"/>
      <c r="AN371" s="75"/>
      <c r="AO371" s="284">
        <f t="shared" si="20"/>
        <v>0</v>
      </c>
      <c r="AP371" s="562"/>
    </row>
    <row r="372" spans="2:42" s="83" customFormat="1" ht="17.25" customHeight="1">
      <c r="B372" s="82" t="s">
        <v>88</v>
      </c>
      <c r="C372" s="82"/>
      <c r="D372" s="80"/>
      <c r="E372" s="81"/>
      <c r="F372" s="81"/>
      <c r="G372" s="81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75"/>
      <c r="AD372" s="75"/>
      <c r="AE372" s="75"/>
      <c r="AF372" s="75"/>
      <c r="AG372" s="166"/>
      <c r="AH372" s="166"/>
      <c r="AI372" s="75"/>
      <c r="AJ372" s="75"/>
      <c r="AK372" s="75"/>
      <c r="AL372" s="75"/>
      <c r="AM372" s="75"/>
      <c r="AN372" s="75"/>
      <c r="AO372" s="284">
        <f t="shared" si="20"/>
        <v>0</v>
      </c>
      <c r="AP372" s="562"/>
    </row>
    <row r="373" spans="2:42" s="83" customFormat="1" ht="17.25" customHeight="1">
      <c r="B373" s="82" t="s">
        <v>88</v>
      </c>
      <c r="C373" s="82"/>
      <c r="D373" s="80"/>
      <c r="E373" s="81"/>
      <c r="F373" s="81"/>
      <c r="G373" s="81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75"/>
      <c r="AD373" s="75"/>
      <c r="AE373" s="75"/>
      <c r="AF373" s="75"/>
      <c r="AG373" s="166"/>
      <c r="AH373" s="166"/>
      <c r="AI373" s="75"/>
      <c r="AJ373" s="75"/>
      <c r="AK373" s="75"/>
      <c r="AL373" s="75"/>
      <c r="AM373" s="75"/>
      <c r="AN373" s="75"/>
      <c r="AO373" s="284">
        <f t="shared" si="20"/>
        <v>0</v>
      </c>
      <c r="AP373" s="562"/>
    </row>
    <row r="374" spans="2:42" s="83" customFormat="1" ht="17.25" customHeight="1">
      <c r="B374" s="82" t="s">
        <v>88</v>
      </c>
      <c r="C374" s="82"/>
      <c r="D374" s="80"/>
      <c r="E374" s="81"/>
      <c r="F374" s="81"/>
      <c r="G374" s="81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75"/>
      <c r="AD374" s="75"/>
      <c r="AE374" s="75"/>
      <c r="AF374" s="75"/>
      <c r="AG374" s="166"/>
      <c r="AH374" s="75"/>
      <c r="AI374" s="75"/>
      <c r="AJ374" s="75"/>
      <c r="AK374" s="75"/>
      <c r="AL374" s="75"/>
      <c r="AM374" s="75"/>
      <c r="AN374" s="75"/>
      <c r="AO374" s="284">
        <f t="shared" si="20"/>
        <v>0</v>
      </c>
      <c r="AP374" s="562"/>
    </row>
    <row r="375" spans="2:42" s="83" customFormat="1" ht="16.5" customHeight="1">
      <c r="B375" s="82" t="s">
        <v>88</v>
      </c>
      <c r="C375" s="82"/>
      <c r="D375" s="80"/>
      <c r="E375" s="81"/>
      <c r="F375" s="81"/>
      <c r="G375" s="81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284">
        <f t="shared" si="20"/>
        <v>0</v>
      </c>
      <c r="AP375" s="562"/>
    </row>
    <row r="376" spans="2:42" s="83" customFormat="1" ht="17.25" customHeight="1">
      <c r="B376" s="82" t="s">
        <v>88</v>
      </c>
      <c r="C376" s="82"/>
      <c r="D376" s="80"/>
      <c r="E376" s="81"/>
      <c r="F376" s="81"/>
      <c r="G376" s="81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75"/>
      <c r="AD376" s="75"/>
      <c r="AE376" s="75"/>
      <c r="AF376" s="75"/>
      <c r="AG376" s="166"/>
      <c r="AH376" s="166"/>
      <c r="AI376" s="75"/>
      <c r="AJ376" s="75"/>
      <c r="AK376" s="75"/>
      <c r="AL376" s="75"/>
      <c r="AM376" s="75"/>
      <c r="AN376" s="75"/>
      <c r="AO376" s="284">
        <f t="shared" si="20"/>
        <v>0</v>
      </c>
      <c r="AP376" s="562"/>
    </row>
    <row r="377" spans="2:42" s="83" customFormat="1" ht="17.25" customHeight="1">
      <c r="B377" s="82" t="s">
        <v>88</v>
      </c>
      <c r="C377" s="82"/>
      <c r="D377" s="80"/>
      <c r="E377" s="81"/>
      <c r="F377" s="81"/>
      <c r="G377" s="81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75"/>
      <c r="AD377" s="75"/>
      <c r="AE377" s="75"/>
      <c r="AF377" s="75"/>
      <c r="AG377" s="166"/>
      <c r="AH377" s="166"/>
      <c r="AI377" s="75"/>
      <c r="AJ377" s="75"/>
      <c r="AK377" s="75"/>
      <c r="AL377" s="75"/>
      <c r="AM377" s="75"/>
      <c r="AN377" s="75"/>
      <c r="AO377" s="284">
        <f t="shared" si="20"/>
        <v>0</v>
      </c>
      <c r="AP377" s="562"/>
    </row>
    <row r="378" spans="2:42" s="83" customFormat="1" ht="17.25" customHeight="1">
      <c r="B378" s="82" t="s">
        <v>88</v>
      </c>
      <c r="C378" s="82"/>
      <c r="D378" s="80"/>
      <c r="E378" s="81"/>
      <c r="F378" s="81"/>
      <c r="G378" s="81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75"/>
      <c r="AD378" s="75"/>
      <c r="AE378" s="75"/>
      <c r="AF378" s="75"/>
      <c r="AG378" s="166"/>
      <c r="AH378" s="166"/>
      <c r="AI378" s="75"/>
      <c r="AJ378" s="75"/>
      <c r="AK378" s="75"/>
      <c r="AL378" s="75"/>
      <c r="AM378" s="75"/>
      <c r="AN378" s="75"/>
      <c r="AO378" s="284">
        <f t="shared" si="20"/>
        <v>0</v>
      </c>
      <c r="AP378" s="562"/>
    </row>
    <row r="379" spans="2:42" s="83" customFormat="1" ht="17.25" customHeight="1">
      <c r="B379" s="82" t="s">
        <v>88</v>
      </c>
      <c r="C379" s="82"/>
      <c r="D379" s="80"/>
      <c r="E379" s="81"/>
      <c r="F379" s="81"/>
      <c r="G379" s="81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75"/>
      <c r="AD379" s="75"/>
      <c r="AE379" s="75"/>
      <c r="AF379" s="75"/>
      <c r="AG379" s="166"/>
      <c r="AH379" s="166"/>
      <c r="AI379" s="75"/>
      <c r="AJ379" s="75"/>
      <c r="AK379" s="75"/>
      <c r="AL379" s="75"/>
      <c r="AM379" s="75"/>
      <c r="AN379" s="75"/>
      <c r="AO379" s="284">
        <f t="shared" si="20"/>
        <v>0</v>
      </c>
      <c r="AP379" s="562"/>
    </row>
    <row r="380" spans="2:42" s="83" customFormat="1" ht="17.25" customHeight="1">
      <c r="B380" s="82" t="s">
        <v>88</v>
      </c>
      <c r="C380" s="82"/>
      <c r="D380" s="80"/>
      <c r="E380" s="81"/>
      <c r="F380" s="81"/>
      <c r="G380" s="81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75"/>
      <c r="AD380" s="75"/>
      <c r="AE380" s="75"/>
      <c r="AF380" s="75"/>
      <c r="AG380" s="166"/>
      <c r="AH380" s="166"/>
      <c r="AI380" s="75"/>
      <c r="AJ380" s="75"/>
      <c r="AK380" s="75"/>
      <c r="AL380" s="75"/>
      <c r="AM380" s="75"/>
      <c r="AN380" s="75"/>
      <c r="AO380" s="284">
        <f t="shared" si="20"/>
        <v>0</v>
      </c>
      <c r="AP380" s="562"/>
    </row>
    <row r="381" spans="2:42" s="83" customFormat="1" ht="17.25" customHeight="1">
      <c r="B381" s="82" t="s">
        <v>88</v>
      </c>
      <c r="C381" s="82"/>
      <c r="D381" s="80"/>
      <c r="E381" s="81"/>
      <c r="F381" s="81"/>
      <c r="G381" s="81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75"/>
      <c r="AD381" s="75"/>
      <c r="AE381" s="75"/>
      <c r="AF381" s="75"/>
      <c r="AG381" s="166"/>
      <c r="AH381" s="166"/>
      <c r="AI381" s="75"/>
      <c r="AJ381" s="75"/>
      <c r="AK381" s="75"/>
      <c r="AL381" s="75"/>
      <c r="AM381" s="75"/>
      <c r="AN381" s="75"/>
      <c r="AO381" s="284">
        <f t="shared" si="20"/>
        <v>0</v>
      </c>
      <c r="AP381" s="562"/>
    </row>
    <row r="382" spans="2:42" s="83" customFormat="1" ht="17.25" customHeight="1">
      <c r="B382" s="82" t="s">
        <v>88</v>
      </c>
      <c r="C382" s="82"/>
      <c r="D382" s="80"/>
      <c r="E382" s="81"/>
      <c r="F382" s="81"/>
      <c r="G382" s="81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75"/>
      <c r="AD382" s="75"/>
      <c r="AE382" s="75"/>
      <c r="AF382" s="75"/>
      <c r="AG382" s="166"/>
      <c r="AH382" s="166"/>
      <c r="AI382" s="75"/>
      <c r="AJ382" s="75"/>
      <c r="AK382" s="75"/>
      <c r="AL382" s="75"/>
      <c r="AM382" s="75"/>
      <c r="AN382" s="75"/>
      <c r="AO382" s="284">
        <f t="shared" si="20"/>
        <v>0</v>
      </c>
      <c r="AP382" s="562"/>
    </row>
    <row r="383" spans="2:42" s="83" customFormat="1" ht="16.5" customHeight="1">
      <c r="B383" s="82" t="s">
        <v>88</v>
      </c>
      <c r="C383" s="82"/>
      <c r="D383" s="80"/>
      <c r="E383" s="81"/>
      <c r="F383" s="81"/>
      <c r="G383" s="81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75"/>
      <c r="AD383" s="75"/>
      <c r="AE383" s="75"/>
      <c r="AF383" s="75"/>
      <c r="AG383" s="75"/>
      <c r="AH383" s="75"/>
      <c r="AI383" s="75"/>
      <c r="AJ383" s="75"/>
      <c r="AK383" s="75"/>
      <c r="AL383" s="75"/>
      <c r="AM383" s="75"/>
      <c r="AN383" s="75"/>
      <c r="AO383" s="284">
        <f t="shared" si="20"/>
        <v>0</v>
      </c>
      <c r="AP383" s="562"/>
    </row>
    <row r="384" spans="2:42" s="83" customFormat="1" ht="17.25" customHeight="1">
      <c r="B384" s="82" t="s">
        <v>88</v>
      </c>
      <c r="C384" s="82"/>
      <c r="D384" s="80"/>
      <c r="E384" s="81"/>
      <c r="F384" s="81"/>
      <c r="G384" s="81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75"/>
      <c r="AD384" s="75"/>
      <c r="AE384" s="166"/>
      <c r="AF384" s="75"/>
      <c r="AG384" s="75"/>
      <c r="AH384" s="75"/>
      <c r="AI384" s="75"/>
      <c r="AJ384" s="75"/>
      <c r="AK384" s="75"/>
      <c r="AL384" s="75"/>
      <c r="AM384" s="75"/>
      <c r="AN384" s="75"/>
      <c r="AO384" s="284">
        <f t="shared" si="20"/>
        <v>0</v>
      </c>
      <c r="AP384" s="562"/>
    </row>
    <row r="385" spans="2:42" s="83" customFormat="1" ht="16.5" customHeight="1">
      <c r="B385" s="82" t="s">
        <v>88</v>
      </c>
      <c r="C385" s="82"/>
      <c r="D385" s="80"/>
      <c r="E385" s="81"/>
      <c r="F385" s="81"/>
      <c r="G385" s="81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75"/>
      <c r="AD385" s="75"/>
      <c r="AE385" s="75"/>
      <c r="AF385" s="75"/>
      <c r="AG385" s="75"/>
      <c r="AH385" s="75"/>
      <c r="AI385" s="75"/>
      <c r="AJ385" s="75"/>
      <c r="AK385" s="75"/>
      <c r="AL385" s="75"/>
      <c r="AM385" s="75"/>
      <c r="AN385" s="75"/>
      <c r="AO385" s="284">
        <f t="shared" ref="AO385:AO405" si="22">SUM(I385:AN385)</f>
        <v>0</v>
      </c>
      <c r="AP385" s="562"/>
    </row>
    <row r="386" spans="2:42" s="83" customFormat="1" ht="16.5" customHeight="1">
      <c r="B386" s="82" t="s">
        <v>88</v>
      </c>
      <c r="C386" s="82"/>
      <c r="D386" s="80"/>
      <c r="E386" s="81"/>
      <c r="F386" s="81"/>
      <c r="G386" s="81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75"/>
      <c r="AD386" s="75"/>
      <c r="AE386" s="75"/>
      <c r="AF386" s="75"/>
      <c r="AG386" s="75"/>
      <c r="AH386" s="75"/>
      <c r="AI386" s="75"/>
      <c r="AJ386" s="75"/>
      <c r="AK386" s="75"/>
      <c r="AL386" s="75"/>
      <c r="AM386" s="75"/>
      <c r="AN386" s="75"/>
      <c r="AO386" s="284">
        <f t="shared" si="22"/>
        <v>0</v>
      </c>
      <c r="AP386" s="562"/>
    </row>
    <row r="387" spans="2:42" s="83" customFormat="1" ht="17.25" customHeight="1">
      <c r="B387" s="82" t="s">
        <v>88</v>
      </c>
      <c r="C387" s="82"/>
      <c r="D387" s="80"/>
      <c r="E387" s="81"/>
      <c r="F387" s="81"/>
      <c r="G387" s="81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75"/>
      <c r="AD387" s="75"/>
      <c r="AE387" s="75"/>
      <c r="AF387" s="75"/>
      <c r="AG387" s="166"/>
      <c r="AH387" s="75"/>
      <c r="AI387" s="75"/>
      <c r="AJ387" s="75"/>
      <c r="AK387" s="75"/>
      <c r="AL387" s="75"/>
      <c r="AM387" s="75"/>
      <c r="AN387" s="75"/>
      <c r="AO387" s="284">
        <f t="shared" si="22"/>
        <v>0</v>
      </c>
      <c r="AP387" s="562"/>
    </row>
    <row r="388" spans="2:42" s="83" customFormat="1" ht="17.25" customHeight="1">
      <c r="B388" s="82" t="s">
        <v>88</v>
      </c>
      <c r="C388" s="82"/>
      <c r="D388" s="80"/>
      <c r="E388" s="81"/>
      <c r="F388" s="81"/>
      <c r="G388" s="81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75"/>
      <c r="AD388" s="75"/>
      <c r="AE388" s="75"/>
      <c r="AF388" s="75"/>
      <c r="AG388" s="166"/>
      <c r="AH388" s="75"/>
      <c r="AI388" s="75"/>
      <c r="AJ388" s="75"/>
      <c r="AK388" s="75"/>
      <c r="AL388" s="75"/>
      <c r="AM388" s="75"/>
      <c r="AN388" s="75"/>
      <c r="AO388" s="284">
        <f t="shared" si="22"/>
        <v>0</v>
      </c>
      <c r="AP388" s="562"/>
    </row>
    <row r="389" spans="2:42" s="83" customFormat="1" ht="17.25" customHeight="1">
      <c r="B389" s="82" t="s">
        <v>88</v>
      </c>
      <c r="C389" s="82"/>
      <c r="D389" s="80"/>
      <c r="E389" s="81"/>
      <c r="F389" s="81"/>
      <c r="G389" s="81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75"/>
      <c r="AD389" s="75"/>
      <c r="AE389" s="75"/>
      <c r="AF389" s="75"/>
      <c r="AG389" s="166"/>
      <c r="AH389" s="75"/>
      <c r="AI389" s="75"/>
      <c r="AJ389" s="75"/>
      <c r="AK389" s="75"/>
      <c r="AL389" s="75"/>
      <c r="AM389" s="75"/>
      <c r="AN389" s="75"/>
      <c r="AO389" s="284">
        <f t="shared" si="22"/>
        <v>0</v>
      </c>
      <c r="AP389" s="562"/>
    </row>
    <row r="390" spans="2:42" s="83" customFormat="1" ht="17.25" customHeight="1">
      <c r="B390" s="82" t="s">
        <v>88</v>
      </c>
      <c r="C390" s="82"/>
      <c r="D390" s="80"/>
      <c r="E390" s="81"/>
      <c r="F390" s="81"/>
      <c r="G390" s="81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75"/>
      <c r="AD390" s="75"/>
      <c r="AE390" s="75"/>
      <c r="AF390" s="75"/>
      <c r="AG390" s="166"/>
      <c r="AH390" s="75"/>
      <c r="AI390" s="75"/>
      <c r="AJ390" s="75"/>
      <c r="AK390" s="75"/>
      <c r="AL390" s="75"/>
      <c r="AM390" s="75"/>
      <c r="AN390" s="75"/>
      <c r="AO390" s="284">
        <f t="shared" si="22"/>
        <v>0</v>
      </c>
      <c r="AP390" s="562"/>
    </row>
    <row r="391" spans="2:42" s="83" customFormat="1" ht="17.25" customHeight="1">
      <c r="B391" s="82" t="s">
        <v>88</v>
      </c>
      <c r="C391" s="82"/>
      <c r="D391" s="80"/>
      <c r="E391" s="81"/>
      <c r="F391" s="81"/>
      <c r="G391" s="81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75"/>
      <c r="AD391" s="75"/>
      <c r="AE391" s="75"/>
      <c r="AF391" s="75"/>
      <c r="AG391" s="166"/>
      <c r="AH391" s="75"/>
      <c r="AI391" s="75"/>
      <c r="AJ391" s="75"/>
      <c r="AK391" s="75"/>
      <c r="AL391" s="75"/>
      <c r="AM391" s="75"/>
      <c r="AN391" s="75"/>
      <c r="AO391" s="284">
        <f t="shared" si="22"/>
        <v>0</v>
      </c>
      <c r="AP391" s="562"/>
    </row>
    <row r="392" spans="2:42" s="83" customFormat="1" ht="17.25" customHeight="1">
      <c r="B392" s="82" t="s">
        <v>88</v>
      </c>
      <c r="C392" s="82"/>
      <c r="D392" s="80"/>
      <c r="E392" s="81"/>
      <c r="F392" s="81"/>
      <c r="G392" s="81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75"/>
      <c r="AD392" s="75"/>
      <c r="AE392" s="75"/>
      <c r="AF392" s="75"/>
      <c r="AG392" s="166"/>
      <c r="AH392" s="75"/>
      <c r="AI392" s="75"/>
      <c r="AJ392" s="75"/>
      <c r="AK392" s="75"/>
      <c r="AL392" s="75"/>
      <c r="AM392" s="75"/>
      <c r="AN392" s="75"/>
      <c r="AO392" s="284">
        <f t="shared" si="22"/>
        <v>0</v>
      </c>
      <c r="AP392" s="562"/>
    </row>
    <row r="393" spans="2:42" s="83" customFormat="1" ht="18" customHeight="1" thickBot="1">
      <c r="B393" s="82" t="s">
        <v>88</v>
      </c>
      <c r="C393" s="82"/>
      <c r="D393" s="80"/>
      <c r="E393" s="81"/>
      <c r="F393" s="81"/>
      <c r="G393" s="81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75"/>
      <c r="AD393" s="75"/>
      <c r="AE393" s="75"/>
      <c r="AF393" s="75"/>
      <c r="AG393" s="166"/>
      <c r="AH393" s="75"/>
      <c r="AI393" s="75"/>
      <c r="AJ393" s="75"/>
      <c r="AK393" s="75"/>
      <c r="AL393" s="75"/>
      <c r="AM393" s="75"/>
      <c r="AN393" s="75"/>
      <c r="AO393" s="284">
        <f t="shared" si="22"/>
        <v>0</v>
      </c>
      <c r="AP393" s="562"/>
    </row>
    <row r="394" spans="2:42" s="83" customFormat="1" ht="17.25" customHeight="1">
      <c r="B394" s="82" t="s">
        <v>88</v>
      </c>
      <c r="C394" s="82"/>
      <c r="D394" s="80"/>
      <c r="E394" s="81"/>
      <c r="F394" s="81"/>
      <c r="G394" s="81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75"/>
      <c r="AD394" s="75"/>
      <c r="AE394" s="75"/>
      <c r="AF394" s="75"/>
      <c r="AG394" s="166"/>
      <c r="AH394" s="75"/>
      <c r="AI394" s="75"/>
      <c r="AJ394" s="75"/>
      <c r="AK394" s="75"/>
      <c r="AL394" s="75"/>
      <c r="AM394" s="75"/>
      <c r="AN394" s="75"/>
      <c r="AO394" s="284">
        <f t="shared" si="22"/>
        <v>0</v>
      </c>
      <c r="AP394" s="199"/>
    </row>
    <row r="395" spans="2:42" s="83" customFormat="1" ht="17.25" customHeight="1">
      <c r="B395" s="82" t="s">
        <v>88</v>
      </c>
      <c r="C395" s="82"/>
      <c r="D395" s="80"/>
      <c r="E395" s="81"/>
      <c r="F395" s="81"/>
      <c r="G395" s="81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75"/>
      <c r="AD395" s="75"/>
      <c r="AE395" s="75"/>
      <c r="AF395" s="75"/>
      <c r="AG395" s="166"/>
      <c r="AH395" s="75"/>
      <c r="AI395" s="75"/>
      <c r="AJ395" s="75"/>
      <c r="AK395" s="75"/>
      <c r="AL395" s="75"/>
      <c r="AM395" s="75"/>
      <c r="AN395" s="75"/>
      <c r="AO395" s="284">
        <f t="shared" si="22"/>
        <v>0</v>
      </c>
      <c r="AP395" s="191"/>
    </row>
    <row r="396" spans="2:42" s="83" customFormat="1" ht="17.25" customHeight="1">
      <c r="B396" s="82" t="s">
        <v>88</v>
      </c>
      <c r="C396" s="82"/>
      <c r="D396" s="80"/>
      <c r="E396" s="81"/>
      <c r="F396" s="81"/>
      <c r="G396" s="81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75"/>
      <c r="AD396" s="75"/>
      <c r="AE396" s="75"/>
      <c r="AF396" s="75"/>
      <c r="AG396" s="166"/>
      <c r="AH396" s="75"/>
      <c r="AI396" s="75"/>
      <c r="AJ396" s="75"/>
      <c r="AK396" s="75"/>
      <c r="AL396" s="75"/>
      <c r="AM396" s="75"/>
      <c r="AN396" s="75"/>
      <c r="AO396" s="284">
        <f t="shared" si="22"/>
        <v>0</v>
      </c>
      <c r="AP396" s="191"/>
    </row>
    <row r="397" spans="2:42" s="83" customFormat="1" ht="17.25" customHeight="1">
      <c r="B397" s="82" t="s">
        <v>88</v>
      </c>
      <c r="C397" s="82"/>
      <c r="D397" s="80"/>
      <c r="E397" s="81"/>
      <c r="F397" s="81"/>
      <c r="G397" s="81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75"/>
      <c r="AD397" s="75"/>
      <c r="AE397" s="75"/>
      <c r="AF397" s="75"/>
      <c r="AG397" s="166"/>
      <c r="AH397" s="75"/>
      <c r="AI397" s="75"/>
      <c r="AJ397" s="75"/>
      <c r="AK397" s="75"/>
      <c r="AL397" s="108"/>
      <c r="AM397" s="75"/>
      <c r="AN397" s="75"/>
      <c r="AO397" s="284">
        <f t="shared" si="22"/>
        <v>0</v>
      </c>
      <c r="AP397" s="191"/>
    </row>
    <row r="398" spans="2:42" s="83" customFormat="1" ht="16.5" customHeight="1">
      <c r="B398" s="82" t="s">
        <v>88</v>
      </c>
      <c r="C398" s="82"/>
      <c r="D398" s="80"/>
      <c r="E398" s="81"/>
      <c r="F398" s="81"/>
      <c r="G398" s="81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75"/>
      <c r="AD398" s="75"/>
      <c r="AE398" s="75"/>
      <c r="AF398" s="75"/>
      <c r="AG398" s="75"/>
      <c r="AH398" s="75"/>
      <c r="AI398" s="75"/>
      <c r="AJ398" s="75"/>
      <c r="AK398" s="75"/>
      <c r="AL398" s="75"/>
      <c r="AM398" s="75"/>
      <c r="AN398" s="75"/>
      <c r="AO398" s="284">
        <f t="shared" si="22"/>
        <v>0</v>
      </c>
      <c r="AP398" s="191"/>
    </row>
    <row r="399" spans="2:42" s="83" customFormat="1" ht="16.5" customHeight="1">
      <c r="B399" s="82" t="s">
        <v>88</v>
      </c>
      <c r="C399" s="82"/>
      <c r="D399" s="80"/>
      <c r="E399" s="81"/>
      <c r="F399" s="81"/>
      <c r="G399" s="81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75"/>
      <c r="AD399" s="75"/>
      <c r="AE399" s="75"/>
      <c r="AF399" s="75"/>
      <c r="AG399" s="75"/>
      <c r="AH399" s="75"/>
      <c r="AI399" s="75"/>
      <c r="AJ399" s="75"/>
      <c r="AK399" s="75"/>
      <c r="AL399" s="75"/>
      <c r="AM399" s="75"/>
      <c r="AN399" s="75"/>
      <c r="AO399" s="284">
        <f t="shared" si="22"/>
        <v>0</v>
      </c>
      <c r="AP399" s="191"/>
    </row>
    <row r="400" spans="2:42" s="83" customFormat="1" ht="17.25" customHeight="1">
      <c r="B400" s="82" t="s">
        <v>88</v>
      </c>
      <c r="C400" s="82"/>
      <c r="D400" s="80"/>
      <c r="E400" s="81"/>
      <c r="F400" s="81"/>
      <c r="G400" s="81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75"/>
      <c r="AD400" s="75"/>
      <c r="AE400" s="75"/>
      <c r="AF400" s="75"/>
      <c r="AG400" s="166"/>
      <c r="AH400" s="75"/>
      <c r="AI400" s="75"/>
      <c r="AJ400" s="75"/>
      <c r="AK400" s="75"/>
      <c r="AL400" s="75"/>
      <c r="AM400" s="75"/>
      <c r="AN400" s="75"/>
      <c r="AO400" s="284">
        <f t="shared" si="22"/>
        <v>0</v>
      </c>
      <c r="AP400" s="191"/>
    </row>
    <row r="401" spans="2:42" s="83" customFormat="1" ht="17.25" customHeight="1" thickBot="1">
      <c r="B401" s="82" t="s">
        <v>88</v>
      </c>
      <c r="C401" s="82"/>
      <c r="D401" s="80"/>
      <c r="E401" s="81"/>
      <c r="F401" s="81"/>
      <c r="G401" s="81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75"/>
      <c r="AD401" s="75"/>
      <c r="AE401" s="75"/>
      <c r="AF401" s="75"/>
      <c r="AG401" s="75"/>
      <c r="AH401" s="75"/>
      <c r="AI401" s="75"/>
      <c r="AJ401" s="75"/>
      <c r="AK401" s="75"/>
      <c r="AL401" s="75"/>
      <c r="AM401" s="75"/>
      <c r="AN401" s="75"/>
      <c r="AO401" s="284">
        <f t="shared" si="22"/>
        <v>0</v>
      </c>
      <c r="AP401" s="231"/>
    </row>
    <row r="402" spans="2:42" s="83" customFormat="1" ht="16.5" customHeight="1">
      <c r="B402" s="82"/>
      <c r="C402" s="82"/>
      <c r="D402" s="80"/>
      <c r="E402" s="81"/>
      <c r="F402" s="81"/>
      <c r="G402" s="81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75"/>
      <c r="AD402" s="75"/>
      <c r="AE402" s="75"/>
      <c r="AF402" s="75"/>
      <c r="AG402" s="75"/>
      <c r="AH402" s="75"/>
      <c r="AI402" s="75"/>
      <c r="AJ402" s="75"/>
      <c r="AK402" s="75"/>
      <c r="AL402" s="75"/>
      <c r="AM402" s="75"/>
      <c r="AN402" s="75"/>
      <c r="AO402" s="76">
        <f t="shared" si="22"/>
        <v>0</v>
      </c>
      <c r="AP402" s="199"/>
    </row>
    <row r="403" spans="2:42" s="83" customFormat="1" ht="16.5" customHeight="1">
      <c r="B403" s="82"/>
      <c r="C403" s="82"/>
      <c r="D403" s="80"/>
      <c r="E403" s="81"/>
      <c r="F403" s="81"/>
      <c r="G403" s="81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75"/>
      <c r="AD403" s="75"/>
      <c r="AE403" s="75"/>
      <c r="AF403" s="75"/>
      <c r="AG403" s="75"/>
      <c r="AH403" s="75"/>
      <c r="AI403" s="75"/>
      <c r="AJ403" s="75"/>
      <c r="AK403" s="75"/>
      <c r="AL403" s="75"/>
      <c r="AM403" s="75"/>
      <c r="AN403" s="75"/>
      <c r="AO403" s="76">
        <f t="shared" si="22"/>
        <v>0</v>
      </c>
      <c r="AP403" s="191"/>
    </row>
    <row r="404" spans="2:42" s="83" customFormat="1" ht="16.5" customHeight="1">
      <c r="B404" s="82"/>
      <c r="C404" s="82"/>
      <c r="D404" s="80"/>
      <c r="E404" s="81"/>
      <c r="F404" s="81"/>
      <c r="G404" s="81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75"/>
      <c r="AD404" s="75"/>
      <c r="AE404" s="75"/>
      <c r="AF404" s="75"/>
      <c r="AG404" s="75"/>
      <c r="AH404" s="75"/>
      <c r="AI404" s="75"/>
      <c r="AJ404" s="75"/>
      <c r="AK404" s="75"/>
      <c r="AL404" s="75"/>
      <c r="AM404" s="75"/>
      <c r="AN404" s="75"/>
      <c r="AO404" s="76">
        <f t="shared" si="22"/>
        <v>0</v>
      </c>
      <c r="AP404" s="191"/>
    </row>
    <row r="405" spans="2:42" s="83" customFormat="1" ht="17.25" customHeight="1" thickBot="1">
      <c r="B405" s="82"/>
      <c r="C405" s="82"/>
      <c r="D405" s="80"/>
      <c r="E405" s="81"/>
      <c r="F405" s="81"/>
      <c r="G405" s="81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75"/>
      <c r="AD405" s="75"/>
      <c r="AE405" s="75"/>
      <c r="AF405" s="75"/>
      <c r="AG405" s="75"/>
      <c r="AH405" s="75"/>
      <c r="AI405" s="75"/>
      <c r="AJ405" s="75"/>
      <c r="AK405" s="75"/>
      <c r="AL405" s="75"/>
      <c r="AM405" s="75"/>
      <c r="AN405" s="75"/>
      <c r="AO405" s="76">
        <f t="shared" si="22"/>
        <v>0</v>
      </c>
      <c r="AP405" s="231"/>
    </row>
    <row r="406" spans="2:42" s="83" customFormat="1" ht="16.5" customHeight="1">
      <c r="B406" s="79"/>
      <c r="C406" s="82"/>
      <c r="D406" s="81"/>
      <c r="E406" s="81"/>
      <c r="F406" s="81"/>
      <c r="G406" s="81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75"/>
      <c r="AD406" s="75"/>
      <c r="AE406" s="75"/>
      <c r="AF406" s="75"/>
      <c r="AG406" s="75"/>
      <c r="AH406" s="75"/>
      <c r="AI406" s="75"/>
      <c r="AJ406" s="75"/>
      <c r="AK406" s="75"/>
      <c r="AL406" s="75"/>
      <c r="AM406" s="75"/>
      <c r="AN406" s="75"/>
      <c r="AO406" s="76">
        <v>0</v>
      </c>
      <c r="AP406" s="97"/>
    </row>
    <row r="407" spans="2:42" s="83" customFormat="1" ht="16.5" customHeight="1">
      <c r="B407" s="79"/>
      <c r="C407" s="82"/>
      <c r="D407" s="81"/>
      <c r="E407" s="81"/>
      <c r="F407" s="81"/>
      <c r="G407" s="81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75"/>
      <c r="AD407" s="75"/>
      <c r="AE407" s="75"/>
      <c r="AF407" s="75"/>
      <c r="AG407" s="75"/>
      <c r="AH407" s="75"/>
      <c r="AI407" s="75"/>
      <c r="AJ407" s="75"/>
      <c r="AK407" s="75"/>
      <c r="AL407" s="75"/>
      <c r="AM407" s="75"/>
      <c r="AN407" s="75"/>
      <c r="AO407" s="76">
        <v>0</v>
      </c>
      <c r="AP407" s="97"/>
    </row>
    <row r="408" spans="2:42" s="83" customFormat="1" ht="16.5" customHeight="1">
      <c r="B408" s="79"/>
      <c r="C408" s="82"/>
      <c r="D408" s="81"/>
      <c r="E408" s="81"/>
      <c r="F408" s="81"/>
      <c r="G408" s="81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75"/>
      <c r="AD408" s="75"/>
      <c r="AE408" s="75"/>
      <c r="AF408" s="75"/>
      <c r="AG408" s="75"/>
      <c r="AH408" s="75"/>
      <c r="AI408" s="75"/>
      <c r="AJ408" s="75"/>
      <c r="AK408" s="75"/>
      <c r="AL408" s="75"/>
      <c r="AM408" s="75"/>
      <c r="AN408" s="75"/>
      <c r="AO408" s="76">
        <v>0</v>
      </c>
      <c r="AP408" s="97"/>
    </row>
    <row r="409" spans="2:42" s="83" customFormat="1" ht="16.5" customHeight="1">
      <c r="B409" s="79"/>
      <c r="C409" s="82"/>
      <c r="D409" s="81"/>
      <c r="E409" s="81"/>
      <c r="F409" s="81"/>
      <c r="G409" s="81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75"/>
      <c r="AD409" s="75"/>
      <c r="AE409" s="75"/>
      <c r="AF409" s="75"/>
      <c r="AG409" s="75"/>
      <c r="AH409" s="75"/>
      <c r="AI409" s="75"/>
      <c r="AJ409" s="75"/>
      <c r="AK409" s="75"/>
      <c r="AL409" s="75"/>
      <c r="AM409" s="75"/>
      <c r="AN409" s="75"/>
      <c r="AO409" s="76">
        <v>0</v>
      </c>
      <c r="AP409" s="97"/>
    </row>
    <row r="410" spans="2:42" s="83" customFormat="1" ht="16.5" customHeight="1">
      <c r="B410" s="79"/>
      <c r="C410" s="82"/>
      <c r="D410" s="81"/>
      <c r="E410" s="81"/>
      <c r="F410" s="81"/>
      <c r="G410" s="81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75"/>
      <c r="AD410" s="75"/>
      <c r="AE410" s="75"/>
      <c r="AF410" s="75"/>
      <c r="AG410" s="75"/>
      <c r="AH410" s="75"/>
      <c r="AI410" s="75"/>
      <c r="AJ410" s="75"/>
      <c r="AK410" s="75"/>
      <c r="AL410" s="75"/>
      <c r="AM410" s="75"/>
      <c r="AN410" s="75"/>
      <c r="AO410" s="76">
        <v>0</v>
      </c>
      <c r="AP410" s="97"/>
    </row>
    <row r="411" spans="2:42" s="83" customFormat="1" ht="16.5" customHeight="1">
      <c r="B411" s="79"/>
      <c r="C411" s="82"/>
      <c r="D411" s="81"/>
      <c r="E411" s="81"/>
      <c r="F411" s="81"/>
      <c r="G411" s="81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75"/>
      <c r="AD411" s="75"/>
      <c r="AE411" s="75"/>
      <c r="AF411" s="75"/>
      <c r="AG411" s="75"/>
      <c r="AH411" s="75"/>
      <c r="AI411" s="75"/>
      <c r="AJ411" s="75"/>
      <c r="AK411" s="75"/>
      <c r="AL411" s="75"/>
      <c r="AM411" s="75"/>
      <c r="AN411" s="75"/>
      <c r="AO411" s="76">
        <v>0</v>
      </c>
      <c r="AP411" s="97"/>
    </row>
    <row r="412" spans="2:42" s="83" customFormat="1" ht="16.5" customHeight="1">
      <c r="B412" s="79"/>
      <c r="C412" s="82"/>
      <c r="D412" s="81"/>
      <c r="E412" s="81"/>
      <c r="F412" s="81"/>
      <c r="G412" s="81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75"/>
      <c r="AD412" s="75"/>
      <c r="AE412" s="75"/>
      <c r="AF412" s="75"/>
      <c r="AG412" s="75"/>
      <c r="AH412" s="75"/>
      <c r="AI412" s="75"/>
      <c r="AJ412" s="75"/>
      <c r="AK412" s="75"/>
      <c r="AL412" s="75"/>
      <c r="AM412" s="75"/>
      <c r="AN412" s="75"/>
      <c r="AO412" s="76">
        <v>0</v>
      </c>
      <c r="AP412" s="97"/>
    </row>
    <row r="413" spans="2:42" s="83" customFormat="1" ht="16.5" customHeight="1">
      <c r="B413" s="79"/>
      <c r="C413" s="82"/>
      <c r="D413" s="81"/>
      <c r="E413" s="81"/>
      <c r="F413" s="81"/>
      <c r="G413" s="81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75"/>
      <c r="AD413" s="75"/>
      <c r="AE413" s="75"/>
      <c r="AF413" s="75"/>
      <c r="AG413" s="75"/>
      <c r="AH413" s="75"/>
      <c r="AI413" s="75"/>
      <c r="AJ413" s="75"/>
      <c r="AK413" s="75"/>
      <c r="AL413" s="75"/>
      <c r="AM413" s="75"/>
      <c r="AN413" s="75"/>
      <c r="AO413" s="76">
        <v>0</v>
      </c>
      <c r="AP413" s="97"/>
    </row>
    <row r="414" spans="2:42" s="83" customFormat="1" ht="16.5" customHeight="1">
      <c r="B414" s="79"/>
      <c r="C414" s="82"/>
      <c r="D414" s="81"/>
      <c r="E414" s="81"/>
      <c r="F414" s="81"/>
      <c r="G414" s="81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75"/>
      <c r="AD414" s="75"/>
      <c r="AE414" s="75"/>
      <c r="AF414" s="75"/>
      <c r="AG414" s="75"/>
      <c r="AH414" s="75"/>
      <c r="AI414" s="75"/>
      <c r="AJ414" s="75"/>
      <c r="AK414" s="75"/>
      <c r="AL414" s="75"/>
      <c r="AM414" s="75"/>
      <c r="AN414" s="75"/>
      <c r="AO414" s="76">
        <v>0</v>
      </c>
      <c r="AP414" s="97"/>
    </row>
    <row r="415" spans="2:42" s="83" customFormat="1" ht="16.5" customHeight="1">
      <c r="B415" s="79"/>
      <c r="C415" s="82"/>
      <c r="D415" s="81"/>
      <c r="E415" s="81"/>
      <c r="F415" s="81"/>
      <c r="G415" s="81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75"/>
      <c r="AD415" s="75"/>
      <c r="AE415" s="75"/>
      <c r="AF415" s="75"/>
      <c r="AG415" s="75"/>
      <c r="AH415" s="75"/>
      <c r="AI415" s="75"/>
      <c r="AJ415" s="75"/>
      <c r="AK415" s="75"/>
      <c r="AL415" s="75"/>
      <c r="AM415" s="75"/>
      <c r="AN415" s="75"/>
      <c r="AO415" s="76">
        <v>0</v>
      </c>
      <c r="AP415" s="97"/>
    </row>
    <row r="416" spans="2:42" s="83" customFormat="1" ht="16.5" customHeight="1">
      <c r="B416" s="79"/>
      <c r="C416" s="82"/>
      <c r="D416" s="81"/>
      <c r="E416" s="81"/>
      <c r="F416" s="81"/>
      <c r="G416" s="81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75"/>
      <c r="AD416" s="75"/>
      <c r="AE416" s="75"/>
      <c r="AF416" s="75"/>
      <c r="AG416" s="75"/>
      <c r="AH416" s="75"/>
      <c r="AI416" s="75"/>
      <c r="AJ416" s="75"/>
      <c r="AK416" s="75"/>
      <c r="AL416" s="75"/>
      <c r="AM416" s="75"/>
      <c r="AN416" s="75"/>
      <c r="AO416" s="76">
        <v>0</v>
      </c>
      <c r="AP416" s="97"/>
    </row>
    <row r="417" spans="2:44" s="83" customFormat="1" ht="16.5" customHeight="1">
      <c r="B417" s="79"/>
      <c r="C417" s="82"/>
      <c r="D417" s="81"/>
      <c r="E417" s="81"/>
      <c r="F417" s="81"/>
      <c r="G417" s="81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75"/>
      <c r="AD417" s="75"/>
      <c r="AE417" s="75"/>
      <c r="AF417" s="75"/>
      <c r="AG417" s="75"/>
      <c r="AH417" s="75"/>
      <c r="AI417" s="75"/>
      <c r="AJ417" s="75"/>
      <c r="AK417" s="75"/>
      <c r="AL417" s="75"/>
      <c r="AM417" s="75"/>
      <c r="AN417" s="75"/>
      <c r="AO417" s="76">
        <v>0</v>
      </c>
      <c r="AP417" s="97"/>
    </row>
    <row r="418" spans="2:44" s="83" customFormat="1" ht="16.5" customHeight="1">
      <c r="B418" s="79"/>
      <c r="C418" s="82"/>
      <c r="D418" s="81"/>
      <c r="E418" s="81"/>
      <c r="F418" s="81"/>
      <c r="G418" s="81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75"/>
      <c r="AD418" s="75"/>
      <c r="AE418" s="75"/>
      <c r="AF418" s="75"/>
      <c r="AG418" s="75"/>
      <c r="AH418" s="75"/>
      <c r="AI418" s="75"/>
      <c r="AJ418" s="75"/>
      <c r="AK418" s="75"/>
      <c r="AL418" s="75"/>
      <c r="AM418" s="75"/>
      <c r="AN418" s="75"/>
      <c r="AO418" s="76">
        <v>0</v>
      </c>
      <c r="AP418" s="97"/>
    </row>
    <row r="419" spans="2:44" s="83" customFormat="1" ht="16.5" customHeight="1">
      <c r="B419" s="79"/>
      <c r="C419" s="82"/>
      <c r="D419" s="81"/>
      <c r="E419" s="81"/>
      <c r="F419" s="81"/>
      <c r="G419" s="81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75"/>
      <c r="AD419" s="75"/>
      <c r="AE419" s="75"/>
      <c r="AF419" s="75"/>
      <c r="AG419" s="75"/>
      <c r="AH419" s="75"/>
      <c r="AI419" s="75"/>
      <c r="AJ419" s="75"/>
      <c r="AK419" s="75"/>
      <c r="AL419" s="75"/>
      <c r="AM419" s="75"/>
      <c r="AN419" s="75"/>
      <c r="AO419" s="76">
        <v>0</v>
      </c>
      <c r="AP419" s="97"/>
    </row>
    <row r="420" spans="2:44" s="83" customFormat="1" ht="16.5" customHeight="1">
      <c r="B420" s="79"/>
      <c r="C420" s="82"/>
      <c r="D420" s="81"/>
      <c r="E420" s="81"/>
      <c r="F420" s="81"/>
      <c r="G420" s="81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75"/>
      <c r="AD420" s="75"/>
      <c r="AE420" s="75"/>
      <c r="AF420" s="75"/>
      <c r="AG420" s="75"/>
      <c r="AH420" s="75"/>
      <c r="AI420" s="75"/>
      <c r="AJ420" s="75"/>
      <c r="AK420" s="75"/>
      <c r="AL420" s="75"/>
      <c r="AM420" s="75"/>
      <c r="AN420" s="75"/>
      <c r="AO420" s="76">
        <v>0</v>
      </c>
      <c r="AP420" s="77"/>
    </row>
    <row r="421" spans="2:44" s="83" customFormat="1" ht="16.5" customHeight="1">
      <c r="B421" s="79"/>
      <c r="C421" s="82"/>
      <c r="D421" s="81"/>
      <c r="E421" s="81"/>
      <c r="F421" s="81"/>
      <c r="G421" s="81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75"/>
      <c r="AD421" s="75"/>
      <c r="AE421" s="75"/>
      <c r="AF421" s="75"/>
      <c r="AG421" s="75"/>
      <c r="AH421" s="75"/>
      <c r="AI421" s="75"/>
      <c r="AJ421" s="75"/>
      <c r="AK421" s="75"/>
      <c r="AL421" s="75"/>
      <c r="AM421" s="75"/>
      <c r="AN421" s="75"/>
      <c r="AO421" s="76">
        <v>0</v>
      </c>
      <c r="AP421" s="77"/>
    </row>
    <row r="422" spans="2:44" s="83" customFormat="1" ht="16.5" customHeight="1">
      <c r="B422" s="79"/>
      <c r="C422" s="82"/>
      <c r="D422" s="81"/>
      <c r="E422" s="81"/>
      <c r="F422" s="81"/>
      <c r="G422" s="81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75"/>
      <c r="AD422" s="75"/>
      <c r="AE422" s="75"/>
      <c r="AF422" s="75"/>
      <c r="AG422" s="75"/>
      <c r="AH422" s="75"/>
      <c r="AI422" s="75"/>
      <c r="AJ422" s="75"/>
      <c r="AK422" s="75"/>
      <c r="AL422" s="75"/>
      <c r="AM422" s="75"/>
      <c r="AN422" s="75"/>
      <c r="AO422" s="76">
        <v>0</v>
      </c>
      <c r="AP422" s="77"/>
    </row>
    <row r="423" spans="2:44" s="83" customFormat="1" ht="16.5" customHeight="1">
      <c r="B423" s="79"/>
      <c r="C423" s="82"/>
      <c r="D423" s="81"/>
      <c r="E423" s="81"/>
      <c r="F423" s="81"/>
      <c r="G423" s="81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75"/>
      <c r="AD423" s="75"/>
      <c r="AE423" s="75"/>
      <c r="AF423" s="75"/>
      <c r="AG423" s="75"/>
      <c r="AH423" s="75"/>
      <c r="AI423" s="75"/>
      <c r="AJ423" s="75"/>
      <c r="AK423" s="75"/>
      <c r="AL423" s="75"/>
      <c r="AM423" s="75"/>
      <c r="AN423" s="75"/>
      <c r="AO423" s="76">
        <v>0</v>
      </c>
      <c r="AP423" s="77"/>
    </row>
    <row r="424" spans="2:44" s="83" customFormat="1" ht="16.5" customHeight="1">
      <c r="B424" s="79"/>
      <c r="C424" s="82"/>
      <c r="D424" s="81"/>
      <c r="E424" s="81"/>
      <c r="F424" s="81"/>
      <c r="G424" s="81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75"/>
      <c r="AD424" s="75"/>
      <c r="AE424" s="75"/>
      <c r="AF424" s="75"/>
      <c r="AG424" s="75"/>
      <c r="AH424" s="75"/>
      <c r="AI424" s="75"/>
      <c r="AJ424" s="75"/>
      <c r="AK424" s="75"/>
      <c r="AL424" s="75"/>
      <c r="AM424" s="75"/>
      <c r="AN424" s="75"/>
      <c r="AO424" s="76">
        <v>0</v>
      </c>
      <c r="AP424" s="77"/>
    </row>
    <row r="425" spans="2:44" s="83" customFormat="1" ht="16.5" customHeight="1">
      <c r="B425" s="79"/>
      <c r="C425" s="82"/>
      <c r="D425" s="81"/>
      <c r="E425" s="81"/>
      <c r="F425" s="81"/>
      <c r="G425" s="81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75"/>
      <c r="AD425" s="75"/>
      <c r="AE425" s="75"/>
      <c r="AF425" s="75"/>
      <c r="AG425" s="75"/>
      <c r="AH425" s="75"/>
      <c r="AI425" s="75"/>
      <c r="AJ425" s="75"/>
      <c r="AK425" s="75"/>
      <c r="AL425" s="75"/>
      <c r="AM425" s="75"/>
      <c r="AN425" s="75"/>
      <c r="AO425" s="76">
        <f>SUM(I425:AN425)</f>
        <v>0</v>
      </c>
      <c r="AP425" s="77"/>
    </row>
    <row r="426" spans="2:44" s="83" customFormat="1" ht="17.25" customHeight="1" thickBot="1">
      <c r="B426" s="79"/>
      <c r="C426" s="82"/>
      <c r="D426" s="81"/>
      <c r="E426" s="81"/>
      <c r="F426" s="81"/>
      <c r="G426" s="81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75"/>
      <c r="AD426" s="75"/>
      <c r="AE426" s="75"/>
      <c r="AF426" s="75"/>
      <c r="AG426" s="75"/>
      <c r="AH426" s="75"/>
      <c r="AI426" s="75"/>
      <c r="AJ426" s="75"/>
      <c r="AK426" s="75"/>
      <c r="AL426" s="75"/>
      <c r="AM426" s="75"/>
      <c r="AN426" s="75"/>
      <c r="AO426" s="76">
        <f>SUM(I426:AN426)</f>
        <v>0</v>
      </c>
      <c r="AP426" s="77"/>
    </row>
    <row r="427" spans="2:44" s="83" customFormat="1" thickTop="1" thickBot="1">
      <c r="B427" s="92" t="s">
        <v>73</v>
      </c>
      <c r="C427" s="578" t="s">
        <v>74</v>
      </c>
      <c r="D427" s="578"/>
      <c r="E427" s="578"/>
      <c r="F427" s="578"/>
      <c r="G427" s="578"/>
      <c r="H427" s="578"/>
      <c r="I427" s="93">
        <f>SUM(I225:I426)</f>
        <v>0</v>
      </c>
      <c r="J427" s="93">
        <f t="shared" ref="J427:AN427" si="23">SUM(J225:J426)</f>
        <v>0</v>
      </c>
      <c r="K427" s="93">
        <f t="shared" si="23"/>
        <v>0.5</v>
      </c>
      <c r="L427" s="93">
        <f t="shared" si="23"/>
        <v>0</v>
      </c>
      <c r="M427" s="93">
        <f t="shared" si="23"/>
        <v>0</v>
      </c>
      <c r="N427" s="93">
        <f t="shared" si="23"/>
        <v>0</v>
      </c>
      <c r="O427" s="93">
        <f t="shared" si="23"/>
        <v>11</v>
      </c>
      <c r="P427" s="93">
        <f t="shared" si="23"/>
        <v>2</v>
      </c>
      <c r="Q427" s="93">
        <f t="shared" si="23"/>
        <v>0</v>
      </c>
      <c r="R427" s="93">
        <f t="shared" si="23"/>
        <v>0</v>
      </c>
      <c r="S427" s="93">
        <f t="shared" si="23"/>
        <v>3</v>
      </c>
      <c r="T427" s="93">
        <f t="shared" si="23"/>
        <v>0</v>
      </c>
      <c r="U427" s="93">
        <f t="shared" si="23"/>
        <v>1</v>
      </c>
      <c r="V427" s="93">
        <f t="shared" si="23"/>
        <v>0</v>
      </c>
      <c r="W427" s="93">
        <f t="shared" si="23"/>
        <v>0</v>
      </c>
      <c r="X427" s="93">
        <f t="shared" si="23"/>
        <v>0</v>
      </c>
      <c r="Y427" s="93">
        <f t="shared" si="23"/>
        <v>0</v>
      </c>
      <c r="Z427" s="93">
        <f t="shared" si="23"/>
        <v>0</v>
      </c>
      <c r="AA427" s="93">
        <f t="shared" si="23"/>
        <v>0</v>
      </c>
      <c r="AB427" s="93">
        <f t="shared" si="23"/>
        <v>3.5</v>
      </c>
      <c r="AC427" s="93">
        <f t="shared" si="23"/>
        <v>0</v>
      </c>
      <c r="AD427" s="93">
        <f t="shared" si="23"/>
        <v>0</v>
      </c>
      <c r="AE427" s="93">
        <f t="shared" si="23"/>
        <v>0</v>
      </c>
      <c r="AF427" s="93">
        <f t="shared" si="23"/>
        <v>0</v>
      </c>
      <c r="AG427" s="93">
        <f t="shared" si="23"/>
        <v>0</v>
      </c>
      <c r="AH427" s="93">
        <f t="shared" si="23"/>
        <v>0</v>
      </c>
      <c r="AI427" s="93">
        <f t="shared" si="23"/>
        <v>0</v>
      </c>
      <c r="AJ427" s="93">
        <f t="shared" si="23"/>
        <v>0</v>
      </c>
      <c r="AK427" s="93">
        <f t="shared" si="23"/>
        <v>0</v>
      </c>
      <c r="AL427" s="93">
        <f t="shared" si="23"/>
        <v>0</v>
      </c>
      <c r="AM427" s="93">
        <f t="shared" si="23"/>
        <v>0</v>
      </c>
      <c r="AN427" s="93">
        <f t="shared" si="23"/>
        <v>0</v>
      </c>
      <c r="AO427" s="93">
        <f>SUM(AO225:AO426)</f>
        <v>21</v>
      </c>
      <c r="AP427" s="93">
        <f>SUM(AP225:AP426)</f>
        <v>21</v>
      </c>
    </row>
    <row r="428" spans="2:44" s="83" customFormat="1" thickTop="1" thickBot="1">
      <c r="B428" s="98" t="s">
        <v>73</v>
      </c>
      <c r="C428" s="573" t="s">
        <v>74</v>
      </c>
      <c r="D428" s="573"/>
      <c r="E428" s="573"/>
      <c r="F428" s="573"/>
      <c r="G428" s="573"/>
      <c r="H428" s="573"/>
      <c r="I428" s="99">
        <f>I427</f>
        <v>0</v>
      </c>
      <c r="J428" s="569">
        <f>+J427+K427</f>
        <v>0.5</v>
      </c>
      <c r="K428" s="570"/>
      <c r="L428" s="99">
        <f>L427</f>
        <v>0</v>
      </c>
      <c r="M428" s="99">
        <f>M427</f>
        <v>0</v>
      </c>
      <c r="N428" s="99">
        <f>N427</f>
        <v>0</v>
      </c>
      <c r="O428" s="99">
        <f>O427</f>
        <v>11</v>
      </c>
      <c r="P428" s="99">
        <f>P427</f>
        <v>2</v>
      </c>
      <c r="Q428" s="569">
        <f>+Q427+R427+S427+T427+U427+V427+W427+X427+Y427</f>
        <v>4</v>
      </c>
      <c r="R428" s="595"/>
      <c r="S428" s="595"/>
      <c r="T428" s="595"/>
      <c r="U428" s="595"/>
      <c r="V428" s="595"/>
      <c r="W428" s="595"/>
      <c r="X428" s="595"/>
      <c r="Y428" s="595"/>
      <c r="Z428" s="572">
        <f>+Z427+AA427+AB427</f>
        <v>3.5</v>
      </c>
      <c r="AA428" s="572"/>
      <c r="AB428" s="572"/>
      <c r="AC428" s="99">
        <f>AC427</f>
        <v>0</v>
      </c>
      <c r="AD428" s="99">
        <f>AD427</f>
        <v>0</v>
      </c>
      <c r="AE428" s="99">
        <f>AE427</f>
        <v>0</v>
      </c>
      <c r="AF428" s="572">
        <f>+AF427+AG427+AH427</f>
        <v>0</v>
      </c>
      <c r="AG428" s="572"/>
      <c r="AH428" s="572"/>
      <c r="AI428" s="99">
        <f t="shared" ref="AI428:AP428" si="24">AI427</f>
        <v>0</v>
      </c>
      <c r="AJ428" s="99">
        <f t="shared" si="24"/>
        <v>0</v>
      </c>
      <c r="AK428" s="99">
        <f t="shared" si="24"/>
        <v>0</v>
      </c>
      <c r="AL428" s="99">
        <f t="shared" si="24"/>
        <v>0</v>
      </c>
      <c r="AM428" s="99">
        <f t="shared" si="24"/>
        <v>0</v>
      </c>
      <c r="AN428" s="99">
        <f t="shared" si="24"/>
        <v>0</v>
      </c>
      <c r="AO428" s="99">
        <f t="shared" si="24"/>
        <v>21</v>
      </c>
      <c r="AP428" s="99">
        <f t="shared" si="24"/>
        <v>21</v>
      </c>
    </row>
    <row r="429" spans="2:44" s="83" customFormat="1" ht="16.5" thickTop="1">
      <c r="B429" s="82" t="s">
        <v>89</v>
      </c>
      <c r="C429" s="499"/>
      <c r="D429" s="410"/>
      <c r="E429" s="410"/>
      <c r="F429" s="500"/>
      <c r="G429" s="500"/>
      <c r="H429" s="410"/>
      <c r="I429" s="410"/>
      <c r="J429" s="410"/>
      <c r="K429" s="410"/>
      <c r="L429" s="410"/>
      <c r="M429" s="410"/>
      <c r="N429" s="410"/>
      <c r="O429" s="410"/>
      <c r="P429" s="410"/>
      <c r="Q429" s="410"/>
      <c r="R429" s="410"/>
      <c r="S429" s="410"/>
      <c r="T429" s="410"/>
      <c r="U429" s="410"/>
      <c r="V429" s="410"/>
      <c r="W429" s="410"/>
      <c r="X429" s="410"/>
      <c r="Y429" s="410"/>
      <c r="Z429" s="410"/>
      <c r="AA429" s="410"/>
      <c r="AB429" s="410"/>
      <c r="AC429" s="504"/>
      <c r="AD429" s="504"/>
      <c r="AE429" s="505"/>
      <c r="AF429" s="505"/>
      <c r="AG429" s="505"/>
      <c r="AH429" s="505"/>
      <c r="AI429" s="504"/>
      <c r="AJ429" s="504"/>
      <c r="AK429" s="504"/>
      <c r="AL429" s="505"/>
      <c r="AM429" s="505"/>
      <c r="AN429" s="505"/>
      <c r="AO429" s="284">
        <f t="shared" ref="AO429:AO460" si="25">SUM(I429:AN429)</f>
        <v>0</v>
      </c>
      <c r="AP429" s="574">
        <f>SUM(AO429:AO434)</f>
        <v>0</v>
      </c>
      <c r="AR429" s="409"/>
    </row>
    <row r="430" spans="2:44" s="83" customFormat="1">
      <c r="B430" s="82" t="s">
        <v>89</v>
      </c>
      <c r="C430" s="499"/>
      <c r="D430" s="410"/>
      <c r="E430" s="410"/>
      <c r="F430" s="500"/>
      <c r="G430" s="500"/>
      <c r="H430" s="410"/>
      <c r="I430" s="410"/>
      <c r="J430" s="410"/>
      <c r="K430" s="410"/>
      <c r="L430" s="410"/>
      <c r="M430" s="410"/>
      <c r="N430" s="410"/>
      <c r="O430" s="410"/>
      <c r="P430" s="410"/>
      <c r="Q430" s="410"/>
      <c r="R430" s="410"/>
      <c r="S430" s="410"/>
      <c r="T430" s="410"/>
      <c r="U430" s="410"/>
      <c r="V430" s="410"/>
      <c r="W430" s="410"/>
      <c r="X430" s="410"/>
      <c r="Y430" s="410"/>
      <c r="Z430" s="410"/>
      <c r="AA430" s="410"/>
      <c r="AB430" s="410"/>
      <c r="AC430" s="504"/>
      <c r="AD430" s="504"/>
      <c r="AE430" s="505"/>
      <c r="AF430" s="505"/>
      <c r="AG430" s="505"/>
      <c r="AH430" s="505"/>
      <c r="AI430" s="504"/>
      <c r="AJ430" s="504"/>
      <c r="AK430" s="504"/>
      <c r="AL430" s="504"/>
      <c r="AM430" s="504"/>
      <c r="AN430" s="504"/>
      <c r="AO430" s="284">
        <f t="shared" si="25"/>
        <v>0</v>
      </c>
      <c r="AP430" s="562"/>
      <c r="AR430" s="409"/>
    </row>
    <row r="431" spans="2:44" s="83" customFormat="1">
      <c r="B431" s="82" t="s">
        <v>89</v>
      </c>
      <c r="C431" s="499"/>
      <c r="D431" s="410"/>
      <c r="E431" s="410"/>
      <c r="F431" s="500"/>
      <c r="G431" s="500"/>
      <c r="H431" s="410"/>
      <c r="I431" s="410"/>
      <c r="J431" s="410"/>
      <c r="K431" s="410"/>
      <c r="L431" s="410"/>
      <c r="M431" s="410"/>
      <c r="N431" s="410"/>
      <c r="O431" s="410"/>
      <c r="P431" s="410"/>
      <c r="Q431" s="410"/>
      <c r="R431" s="410"/>
      <c r="S431" s="410"/>
      <c r="T431" s="410"/>
      <c r="U431" s="410"/>
      <c r="V431" s="410"/>
      <c r="W431" s="410"/>
      <c r="X431" s="410"/>
      <c r="Y431" s="410"/>
      <c r="Z431" s="410"/>
      <c r="AA431" s="410"/>
      <c r="AB431" s="410"/>
      <c r="AC431" s="504"/>
      <c r="AD431" s="504"/>
      <c r="AE431" s="505"/>
      <c r="AF431" s="505"/>
      <c r="AG431" s="505"/>
      <c r="AH431" s="505"/>
      <c r="AI431" s="505"/>
      <c r="AJ431" s="505"/>
      <c r="AK431" s="504"/>
      <c r="AL431" s="504"/>
      <c r="AM431" s="504"/>
      <c r="AN431" s="504"/>
      <c r="AO431" s="284">
        <f t="shared" si="25"/>
        <v>0</v>
      </c>
      <c r="AP431" s="562"/>
      <c r="AR431" s="409"/>
    </row>
    <row r="432" spans="2:44" s="83" customFormat="1">
      <c r="B432" s="82" t="s">
        <v>89</v>
      </c>
      <c r="C432" s="499"/>
      <c r="D432" s="410"/>
      <c r="E432" s="410"/>
      <c r="F432" s="500"/>
      <c r="G432" s="500"/>
      <c r="H432" s="410"/>
      <c r="I432" s="410"/>
      <c r="J432" s="410"/>
      <c r="K432" s="410"/>
      <c r="L432" s="410"/>
      <c r="M432" s="410"/>
      <c r="N432" s="410"/>
      <c r="O432" s="410"/>
      <c r="P432" s="410"/>
      <c r="Q432" s="410"/>
      <c r="R432" s="410"/>
      <c r="S432" s="410"/>
      <c r="T432" s="410"/>
      <c r="U432" s="410"/>
      <c r="V432" s="410"/>
      <c r="W432" s="410"/>
      <c r="X432" s="410"/>
      <c r="Y432" s="410"/>
      <c r="Z432" s="410"/>
      <c r="AA432" s="410"/>
      <c r="AB432" s="410"/>
      <c r="AC432" s="504"/>
      <c r="AD432" s="504"/>
      <c r="AE432" s="505"/>
      <c r="AF432" s="505"/>
      <c r="AG432" s="505"/>
      <c r="AH432" s="505"/>
      <c r="AI432" s="505"/>
      <c r="AJ432" s="505"/>
      <c r="AK432" s="504"/>
      <c r="AL432" s="504"/>
      <c r="AM432" s="504"/>
      <c r="AN432" s="504"/>
      <c r="AO432" s="284">
        <f t="shared" si="25"/>
        <v>0</v>
      </c>
      <c r="AP432" s="562"/>
      <c r="AR432" s="409"/>
    </row>
    <row r="433" spans="2:44" s="83" customFormat="1" ht="16.5" thickBot="1">
      <c r="B433" s="82" t="s">
        <v>89</v>
      </c>
      <c r="C433" s="499"/>
      <c r="D433" s="410"/>
      <c r="E433" s="410"/>
      <c r="F433" s="500"/>
      <c r="G433" s="500"/>
      <c r="H433" s="410"/>
      <c r="I433" s="410"/>
      <c r="J433" s="410"/>
      <c r="K433" s="410"/>
      <c r="L433" s="410"/>
      <c r="M433" s="410"/>
      <c r="N433" s="410"/>
      <c r="O433" s="410"/>
      <c r="P433" s="410"/>
      <c r="Q433" s="410"/>
      <c r="R433" s="410"/>
      <c r="S433" s="410"/>
      <c r="T433" s="410"/>
      <c r="U433" s="410"/>
      <c r="V433" s="410"/>
      <c r="W433" s="410"/>
      <c r="X433" s="410"/>
      <c r="Y433" s="410"/>
      <c r="Z433" s="410"/>
      <c r="AA433" s="410"/>
      <c r="AB433" s="410"/>
      <c r="AC433" s="504"/>
      <c r="AD433" s="504"/>
      <c r="AE433" s="505"/>
      <c r="AF433" s="505"/>
      <c r="AG433" s="505"/>
      <c r="AH433" s="505"/>
      <c r="AI433" s="504"/>
      <c r="AJ433" s="504"/>
      <c r="AK433" s="504"/>
      <c r="AL433" s="504"/>
      <c r="AM433" s="504"/>
      <c r="AN433" s="504"/>
      <c r="AO433" s="284">
        <f t="shared" si="25"/>
        <v>0</v>
      </c>
      <c r="AP433" s="563"/>
      <c r="AR433" s="409"/>
    </row>
    <row r="434" spans="2:44" s="83" customFormat="1">
      <c r="B434" s="82" t="s">
        <v>89</v>
      </c>
      <c r="C434" s="82"/>
      <c r="D434" s="80"/>
      <c r="E434" s="80"/>
      <c r="F434" s="81"/>
      <c r="G434" s="81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75"/>
      <c r="AD434" s="75"/>
      <c r="AE434" s="75"/>
      <c r="AF434" s="75"/>
      <c r="AG434" s="75"/>
      <c r="AH434" s="75"/>
      <c r="AI434" s="75"/>
      <c r="AJ434" s="75"/>
      <c r="AK434" s="75"/>
      <c r="AL434" s="75"/>
      <c r="AM434" s="75"/>
      <c r="AN434" s="75"/>
      <c r="AO434" s="284">
        <f t="shared" si="25"/>
        <v>0</v>
      </c>
      <c r="AP434" s="199"/>
      <c r="AR434" s="409"/>
    </row>
    <row r="435" spans="2:44" s="83" customFormat="1">
      <c r="B435" s="82" t="s">
        <v>89</v>
      </c>
      <c r="C435" s="82"/>
      <c r="D435" s="80"/>
      <c r="E435" s="81"/>
      <c r="F435" s="81"/>
      <c r="G435" s="81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75"/>
      <c r="AD435" s="166"/>
      <c r="AE435" s="75"/>
      <c r="AF435" s="75"/>
      <c r="AG435" s="166"/>
      <c r="AH435" s="75"/>
      <c r="AI435" s="75"/>
      <c r="AJ435" s="75"/>
      <c r="AK435" s="75"/>
      <c r="AL435" s="75"/>
      <c r="AM435" s="75"/>
      <c r="AN435" s="75"/>
      <c r="AO435" s="284">
        <f t="shared" si="25"/>
        <v>0</v>
      </c>
      <c r="AP435" s="191"/>
      <c r="AR435" s="409"/>
    </row>
    <row r="436" spans="2:44" s="83" customFormat="1">
      <c r="B436" s="82" t="s">
        <v>89</v>
      </c>
      <c r="C436" s="82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75"/>
      <c r="AD436" s="166"/>
      <c r="AE436" s="75"/>
      <c r="AF436" s="75"/>
      <c r="AG436" s="166"/>
      <c r="AH436" s="75"/>
      <c r="AI436" s="75"/>
      <c r="AJ436" s="75"/>
      <c r="AK436" s="75"/>
      <c r="AL436" s="75"/>
      <c r="AM436" s="75"/>
      <c r="AN436" s="75"/>
      <c r="AO436" s="284">
        <f t="shared" si="25"/>
        <v>0</v>
      </c>
      <c r="AP436" s="191"/>
      <c r="AR436" s="409"/>
    </row>
    <row r="437" spans="2:44" s="83" customFormat="1">
      <c r="B437" s="82" t="s">
        <v>89</v>
      </c>
      <c r="C437" s="82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75"/>
      <c r="AD437" s="75"/>
      <c r="AE437" s="75"/>
      <c r="AF437" s="75"/>
      <c r="AG437" s="166"/>
      <c r="AH437" s="75"/>
      <c r="AI437" s="75"/>
      <c r="AJ437" s="75"/>
      <c r="AK437" s="75"/>
      <c r="AL437" s="75"/>
      <c r="AM437" s="75"/>
      <c r="AN437" s="75"/>
      <c r="AO437" s="284">
        <f t="shared" si="25"/>
        <v>0</v>
      </c>
      <c r="AP437" s="191"/>
      <c r="AR437" s="409"/>
    </row>
    <row r="438" spans="2:44" s="83" customFormat="1">
      <c r="B438" s="82" t="s">
        <v>89</v>
      </c>
      <c r="C438" s="82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75"/>
      <c r="AD438" s="75"/>
      <c r="AE438" s="75"/>
      <c r="AF438" s="75"/>
      <c r="AG438" s="166"/>
      <c r="AH438" s="75"/>
      <c r="AI438" s="75"/>
      <c r="AJ438" s="75"/>
      <c r="AK438" s="75"/>
      <c r="AL438" s="75"/>
      <c r="AM438" s="75"/>
      <c r="AN438" s="75"/>
      <c r="AO438" s="284">
        <f t="shared" si="25"/>
        <v>0</v>
      </c>
      <c r="AP438" s="191"/>
      <c r="AR438" s="409"/>
    </row>
    <row r="439" spans="2:44" s="83" customFormat="1">
      <c r="B439" s="82" t="s">
        <v>89</v>
      </c>
      <c r="C439" s="82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75"/>
      <c r="AD439" s="75"/>
      <c r="AE439" s="75"/>
      <c r="AF439" s="75"/>
      <c r="AG439" s="166"/>
      <c r="AH439" s="75"/>
      <c r="AI439" s="75"/>
      <c r="AJ439" s="75"/>
      <c r="AK439" s="75"/>
      <c r="AL439" s="75"/>
      <c r="AM439" s="75"/>
      <c r="AN439" s="75"/>
      <c r="AO439" s="284">
        <f t="shared" si="25"/>
        <v>0</v>
      </c>
      <c r="AP439" s="191"/>
      <c r="AR439" s="409"/>
    </row>
    <row r="440" spans="2:44" s="83" customFormat="1">
      <c r="B440" s="82" t="s">
        <v>89</v>
      </c>
      <c r="C440" s="82"/>
      <c r="D440" s="80"/>
      <c r="E440" s="81"/>
      <c r="F440" s="81"/>
      <c r="G440" s="81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166"/>
      <c r="AD440" s="167"/>
      <c r="AE440" s="166"/>
      <c r="AF440" s="166"/>
      <c r="AG440" s="166"/>
      <c r="AH440" s="166"/>
      <c r="AI440" s="166"/>
      <c r="AJ440" s="166"/>
      <c r="AK440" s="166"/>
      <c r="AL440" s="166"/>
      <c r="AM440" s="166"/>
      <c r="AN440" s="166"/>
      <c r="AO440" s="284">
        <f t="shared" si="25"/>
        <v>0</v>
      </c>
      <c r="AP440" s="191"/>
      <c r="AR440" s="409"/>
    </row>
    <row r="441" spans="2:44" s="83" customFormat="1">
      <c r="B441" s="82" t="s">
        <v>89</v>
      </c>
      <c r="C441" s="82"/>
      <c r="D441" s="80"/>
      <c r="E441" s="81"/>
      <c r="F441" s="81"/>
      <c r="G441" s="81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166"/>
      <c r="AD441" s="166"/>
      <c r="AE441" s="166"/>
      <c r="AF441" s="166"/>
      <c r="AG441" s="166"/>
      <c r="AH441" s="166"/>
      <c r="AI441" s="166"/>
      <c r="AJ441" s="166"/>
      <c r="AK441" s="166"/>
      <c r="AL441" s="166"/>
      <c r="AM441" s="166"/>
      <c r="AN441" s="166"/>
      <c r="AO441" s="284">
        <f t="shared" si="25"/>
        <v>0</v>
      </c>
      <c r="AP441" s="191"/>
      <c r="AR441" s="409"/>
    </row>
    <row r="442" spans="2:44" s="83" customFormat="1">
      <c r="B442" s="82" t="s">
        <v>89</v>
      </c>
      <c r="C442" s="82"/>
      <c r="D442" s="80"/>
      <c r="E442" s="81"/>
      <c r="F442" s="81"/>
      <c r="G442" s="81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166"/>
      <c r="AD442" s="166"/>
      <c r="AE442" s="166"/>
      <c r="AF442" s="166"/>
      <c r="AG442" s="166"/>
      <c r="AH442" s="166"/>
      <c r="AI442" s="166"/>
      <c r="AJ442" s="166"/>
      <c r="AK442" s="166"/>
      <c r="AL442" s="166"/>
      <c r="AM442" s="166"/>
      <c r="AN442" s="166"/>
      <c r="AO442" s="284">
        <f t="shared" si="25"/>
        <v>0</v>
      </c>
      <c r="AP442" s="191"/>
      <c r="AR442" s="409"/>
    </row>
    <row r="443" spans="2:44" s="83" customFormat="1">
      <c r="B443" s="82" t="s">
        <v>89</v>
      </c>
      <c r="C443" s="82"/>
      <c r="D443" s="80"/>
      <c r="E443" s="81"/>
      <c r="F443" s="81"/>
      <c r="G443" s="81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166"/>
      <c r="AD443" s="166"/>
      <c r="AE443" s="166"/>
      <c r="AF443" s="166"/>
      <c r="AG443" s="166"/>
      <c r="AH443" s="166"/>
      <c r="AI443" s="166"/>
      <c r="AJ443" s="166"/>
      <c r="AK443" s="166"/>
      <c r="AL443" s="166"/>
      <c r="AM443" s="166"/>
      <c r="AN443" s="166"/>
      <c r="AO443" s="284">
        <f t="shared" si="25"/>
        <v>0</v>
      </c>
      <c r="AP443" s="191"/>
      <c r="AR443" s="409"/>
    </row>
    <row r="444" spans="2:44" s="83" customFormat="1">
      <c r="B444" s="82" t="s">
        <v>89</v>
      </c>
      <c r="C444" s="82"/>
      <c r="D444" s="80"/>
      <c r="E444" s="81"/>
      <c r="F444" s="81"/>
      <c r="G444" s="81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166"/>
      <c r="AD444" s="166"/>
      <c r="AE444" s="166"/>
      <c r="AF444" s="166"/>
      <c r="AG444" s="166"/>
      <c r="AH444" s="166"/>
      <c r="AI444" s="166"/>
      <c r="AJ444" s="166"/>
      <c r="AK444" s="166"/>
      <c r="AL444" s="166"/>
      <c r="AM444" s="166"/>
      <c r="AN444" s="166"/>
      <c r="AO444" s="284">
        <f t="shared" si="25"/>
        <v>0</v>
      </c>
      <c r="AP444" s="191"/>
      <c r="AR444" s="409"/>
    </row>
    <row r="445" spans="2:44" s="83" customFormat="1">
      <c r="B445" s="82" t="s">
        <v>89</v>
      </c>
      <c r="C445" s="82"/>
      <c r="D445" s="80"/>
      <c r="E445" s="81"/>
      <c r="F445" s="81"/>
      <c r="G445" s="81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166"/>
      <c r="AD445" s="166"/>
      <c r="AE445" s="166"/>
      <c r="AF445" s="166"/>
      <c r="AG445" s="166"/>
      <c r="AH445" s="166"/>
      <c r="AI445" s="166"/>
      <c r="AJ445" s="166"/>
      <c r="AK445" s="166"/>
      <c r="AL445" s="166"/>
      <c r="AM445" s="166"/>
      <c r="AN445" s="166"/>
      <c r="AO445" s="284">
        <f t="shared" si="25"/>
        <v>0</v>
      </c>
      <c r="AP445" s="191"/>
      <c r="AR445" s="409"/>
    </row>
    <row r="446" spans="2:44" s="83" customFormat="1">
      <c r="B446" s="82" t="s">
        <v>89</v>
      </c>
      <c r="C446" s="82"/>
      <c r="D446" s="80"/>
      <c r="E446" s="81"/>
      <c r="F446" s="81"/>
      <c r="G446" s="81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166"/>
      <c r="AD446" s="166"/>
      <c r="AE446" s="166"/>
      <c r="AF446" s="166"/>
      <c r="AG446" s="166"/>
      <c r="AH446" s="166"/>
      <c r="AI446" s="166"/>
      <c r="AJ446" s="166"/>
      <c r="AK446" s="166"/>
      <c r="AL446" s="166"/>
      <c r="AM446" s="166"/>
      <c r="AN446" s="166"/>
      <c r="AO446" s="284">
        <f t="shared" si="25"/>
        <v>0</v>
      </c>
      <c r="AP446" s="191"/>
      <c r="AR446" s="409"/>
    </row>
    <row r="447" spans="2:44" s="83" customFormat="1">
      <c r="B447" s="82" t="s">
        <v>89</v>
      </c>
      <c r="C447" s="82"/>
      <c r="D447" s="80"/>
      <c r="E447" s="81"/>
      <c r="F447" s="81"/>
      <c r="G447" s="81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166"/>
      <c r="AD447" s="166"/>
      <c r="AE447" s="166"/>
      <c r="AF447" s="166"/>
      <c r="AG447" s="166"/>
      <c r="AH447" s="166"/>
      <c r="AI447" s="166"/>
      <c r="AJ447" s="166"/>
      <c r="AK447" s="166"/>
      <c r="AL447" s="166"/>
      <c r="AM447" s="166"/>
      <c r="AN447" s="166"/>
      <c r="AO447" s="284">
        <f t="shared" si="25"/>
        <v>0</v>
      </c>
      <c r="AP447" s="191"/>
      <c r="AR447" s="409"/>
    </row>
    <row r="448" spans="2:44" s="83" customFormat="1">
      <c r="B448" s="82" t="s">
        <v>89</v>
      </c>
      <c r="C448" s="82"/>
      <c r="D448" s="80"/>
      <c r="E448" s="81"/>
      <c r="F448" s="81"/>
      <c r="G448" s="81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166"/>
      <c r="AD448" s="166"/>
      <c r="AE448" s="166"/>
      <c r="AF448" s="166"/>
      <c r="AG448" s="166"/>
      <c r="AH448" s="166"/>
      <c r="AI448" s="166"/>
      <c r="AJ448" s="166"/>
      <c r="AK448" s="166"/>
      <c r="AL448" s="166"/>
      <c r="AM448" s="166"/>
      <c r="AN448" s="166"/>
      <c r="AO448" s="284">
        <f t="shared" si="25"/>
        <v>0</v>
      </c>
      <c r="AP448" s="191"/>
      <c r="AR448" s="409"/>
    </row>
    <row r="449" spans="2:44" s="83" customFormat="1">
      <c r="B449" s="82" t="s">
        <v>89</v>
      </c>
      <c r="C449" s="82"/>
      <c r="D449" s="80"/>
      <c r="E449" s="81"/>
      <c r="F449" s="81"/>
      <c r="G449" s="81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166"/>
      <c r="AD449" s="166"/>
      <c r="AE449" s="166"/>
      <c r="AF449" s="166"/>
      <c r="AG449" s="166"/>
      <c r="AH449" s="166"/>
      <c r="AI449" s="166"/>
      <c r="AJ449" s="166"/>
      <c r="AK449" s="166"/>
      <c r="AL449" s="166"/>
      <c r="AM449" s="166"/>
      <c r="AN449" s="166"/>
      <c r="AO449" s="284">
        <f t="shared" si="25"/>
        <v>0</v>
      </c>
      <c r="AP449" s="191"/>
      <c r="AR449" s="409"/>
    </row>
    <row r="450" spans="2:44" s="83" customFormat="1">
      <c r="B450" s="82" t="s">
        <v>89</v>
      </c>
      <c r="C450" s="82"/>
      <c r="D450" s="80"/>
      <c r="E450" s="81"/>
      <c r="F450" s="81"/>
      <c r="G450" s="81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166"/>
      <c r="AD450" s="166"/>
      <c r="AE450" s="166"/>
      <c r="AF450" s="166"/>
      <c r="AG450" s="166"/>
      <c r="AH450" s="166"/>
      <c r="AI450" s="166"/>
      <c r="AJ450" s="166"/>
      <c r="AK450" s="166"/>
      <c r="AL450" s="166"/>
      <c r="AM450" s="166"/>
      <c r="AN450" s="166"/>
      <c r="AO450" s="284">
        <f t="shared" si="25"/>
        <v>0</v>
      </c>
      <c r="AP450" s="191"/>
      <c r="AR450" s="409"/>
    </row>
    <row r="451" spans="2:44" s="83" customFormat="1" ht="16.5" thickBot="1">
      <c r="B451" s="82" t="s">
        <v>89</v>
      </c>
      <c r="C451" s="82"/>
      <c r="D451" s="80"/>
      <c r="E451" s="81"/>
      <c r="F451" s="81"/>
      <c r="G451" s="81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166"/>
      <c r="AD451" s="166"/>
      <c r="AE451" s="166"/>
      <c r="AF451" s="166"/>
      <c r="AG451" s="166"/>
      <c r="AH451" s="166"/>
      <c r="AI451" s="166"/>
      <c r="AJ451" s="166"/>
      <c r="AK451" s="166"/>
      <c r="AL451" s="166"/>
      <c r="AM451" s="166"/>
      <c r="AN451" s="166"/>
      <c r="AO451" s="284">
        <f t="shared" si="25"/>
        <v>0</v>
      </c>
      <c r="AP451" s="231"/>
      <c r="AR451" s="409"/>
    </row>
    <row r="452" spans="2:44" s="83" customFormat="1">
      <c r="B452" s="82" t="s">
        <v>89</v>
      </c>
      <c r="C452" s="82"/>
      <c r="D452" s="80"/>
      <c r="E452" s="81"/>
      <c r="F452" s="81"/>
      <c r="G452" s="81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166"/>
      <c r="AD452" s="166"/>
      <c r="AE452" s="166"/>
      <c r="AF452" s="166"/>
      <c r="AG452" s="166"/>
      <c r="AH452" s="166"/>
      <c r="AI452" s="166"/>
      <c r="AJ452" s="166"/>
      <c r="AK452" s="166"/>
      <c r="AL452" s="166"/>
      <c r="AM452" s="166"/>
      <c r="AN452" s="166"/>
      <c r="AO452" s="284">
        <f t="shared" si="25"/>
        <v>0</v>
      </c>
      <c r="AP452" s="561">
        <f>SUM(AO452:AO475)</f>
        <v>0</v>
      </c>
      <c r="AR452" s="409"/>
    </row>
    <row r="453" spans="2:44" s="83" customFormat="1">
      <c r="B453" s="82" t="s">
        <v>89</v>
      </c>
      <c r="C453" s="82"/>
      <c r="D453" s="80"/>
      <c r="E453" s="81"/>
      <c r="F453" s="81"/>
      <c r="G453" s="81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166"/>
      <c r="AD453" s="166"/>
      <c r="AE453" s="166"/>
      <c r="AF453" s="166"/>
      <c r="AG453" s="166"/>
      <c r="AH453" s="166"/>
      <c r="AI453" s="166"/>
      <c r="AJ453" s="166"/>
      <c r="AK453" s="166"/>
      <c r="AL453" s="166"/>
      <c r="AM453" s="166"/>
      <c r="AN453" s="166"/>
      <c r="AO453" s="284">
        <f t="shared" si="25"/>
        <v>0</v>
      </c>
      <c r="AP453" s="562"/>
      <c r="AR453" s="409"/>
    </row>
    <row r="454" spans="2:44" s="83" customFormat="1">
      <c r="B454" s="82" t="s">
        <v>89</v>
      </c>
      <c r="C454" s="82"/>
      <c r="D454" s="80"/>
      <c r="E454" s="81"/>
      <c r="F454" s="81"/>
      <c r="G454" s="81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166"/>
      <c r="AD454" s="166"/>
      <c r="AE454" s="166"/>
      <c r="AF454" s="166"/>
      <c r="AG454" s="166"/>
      <c r="AH454" s="166"/>
      <c r="AI454" s="166"/>
      <c r="AJ454" s="166"/>
      <c r="AK454" s="166"/>
      <c r="AL454" s="166"/>
      <c r="AM454" s="166"/>
      <c r="AN454" s="166"/>
      <c r="AO454" s="284">
        <f t="shared" si="25"/>
        <v>0</v>
      </c>
      <c r="AP454" s="562"/>
      <c r="AR454" s="409"/>
    </row>
    <row r="455" spans="2:44" s="83" customFormat="1">
      <c r="B455" s="82" t="s">
        <v>89</v>
      </c>
      <c r="C455" s="82"/>
      <c r="D455" s="80"/>
      <c r="E455" s="81"/>
      <c r="F455" s="81"/>
      <c r="G455" s="81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166"/>
      <c r="AD455" s="166"/>
      <c r="AE455" s="166"/>
      <c r="AF455" s="166"/>
      <c r="AG455" s="166"/>
      <c r="AH455" s="166"/>
      <c r="AI455" s="166"/>
      <c r="AJ455" s="166"/>
      <c r="AK455" s="166"/>
      <c r="AL455" s="166"/>
      <c r="AM455" s="166"/>
      <c r="AN455" s="166"/>
      <c r="AO455" s="284">
        <f t="shared" si="25"/>
        <v>0</v>
      </c>
      <c r="AP455" s="562"/>
      <c r="AR455" s="409"/>
    </row>
    <row r="456" spans="2:44" s="83" customFormat="1">
      <c r="B456" s="82" t="s">
        <v>89</v>
      </c>
      <c r="C456" s="82"/>
      <c r="D456" s="80"/>
      <c r="E456" s="81"/>
      <c r="F456" s="81"/>
      <c r="G456" s="81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166"/>
      <c r="AD456" s="166"/>
      <c r="AE456" s="166"/>
      <c r="AF456" s="166"/>
      <c r="AG456" s="166"/>
      <c r="AH456" s="166"/>
      <c r="AI456" s="166"/>
      <c r="AJ456" s="166"/>
      <c r="AK456" s="166"/>
      <c r="AL456" s="166"/>
      <c r="AM456" s="166"/>
      <c r="AN456" s="166"/>
      <c r="AO456" s="284">
        <f t="shared" si="25"/>
        <v>0</v>
      </c>
      <c r="AP456" s="562"/>
      <c r="AR456" s="409"/>
    </row>
    <row r="457" spans="2:44" s="83" customFormat="1">
      <c r="B457" s="82" t="s">
        <v>89</v>
      </c>
      <c r="C457" s="82"/>
      <c r="D457" s="80"/>
      <c r="E457" s="81"/>
      <c r="F457" s="81"/>
      <c r="G457" s="81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166"/>
      <c r="AD457" s="166"/>
      <c r="AE457" s="166"/>
      <c r="AF457" s="166"/>
      <c r="AG457" s="166"/>
      <c r="AH457" s="166"/>
      <c r="AI457" s="166"/>
      <c r="AJ457" s="166"/>
      <c r="AK457" s="166"/>
      <c r="AL457" s="166"/>
      <c r="AM457" s="166"/>
      <c r="AN457" s="166"/>
      <c r="AO457" s="284">
        <f t="shared" si="25"/>
        <v>0</v>
      </c>
      <c r="AP457" s="562"/>
      <c r="AR457" s="409"/>
    </row>
    <row r="458" spans="2:44" s="83" customFormat="1">
      <c r="B458" s="82" t="s">
        <v>89</v>
      </c>
      <c r="C458" s="82"/>
      <c r="D458" s="80"/>
      <c r="E458" s="81"/>
      <c r="F458" s="81"/>
      <c r="G458" s="81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166"/>
      <c r="AD458" s="166"/>
      <c r="AE458" s="166"/>
      <c r="AF458" s="166"/>
      <c r="AG458" s="166"/>
      <c r="AH458" s="166"/>
      <c r="AI458" s="166"/>
      <c r="AJ458" s="166"/>
      <c r="AK458" s="166"/>
      <c r="AL458" s="166"/>
      <c r="AM458" s="166"/>
      <c r="AN458" s="166"/>
      <c r="AO458" s="284">
        <f t="shared" si="25"/>
        <v>0</v>
      </c>
      <c r="AP458" s="562"/>
      <c r="AR458" s="409"/>
    </row>
    <row r="459" spans="2:44" s="83" customFormat="1">
      <c r="B459" s="82" t="s">
        <v>89</v>
      </c>
      <c r="C459" s="82"/>
      <c r="D459" s="80"/>
      <c r="E459" s="81"/>
      <c r="F459" s="81"/>
      <c r="G459" s="81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166"/>
      <c r="AD459" s="166"/>
      <c r="AE459" s="166"/>
      <c r="AF459" s="166"/>
      <c r="AG459" s="166"/>
      <c r="AH459" s="166"/>
      <c r="AI459" s="166"/>
      <c r="AJ459" s="166"/>
      <c r="AK459" s="166"/>
      <c r="AL459" s="166"/>
      <c r="AM459" s="166"/>
      <c r="AN459" s="166"/>
      <c r="AO459" s="284">
        <f t="shared" si="25"/>
        <v>0</v>
      </c>
      <c r="AP459" s="562"/>
      <c r="AR459" s="409"/>
    </row>
    <row r="460" spans="2:44" s="83" customFormat="1">
      <c r="B460" s="82" t="s">
        <v>89</v>
      </c>
      <c r="C460" s="82"/>
      <c r="D460" s="80"/>
      <c r="E460" s="81"/>
      <c r="F460" s="81"/>
      <c r="G460" s="81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166"/>
      <c r="AD460" s="166"/>
      <c r="AE460" s="166"/>
      <c r="AF460" s="166"/>
      <c r="AG460" s="166"/>
      <c r="AH460" s="166"/>
      <c r="AI460" s="166"/>
      <c r="AJ460" s="166"/>
      <c r="AK460" s="166"/>
      <c r="AL460" s="166"/>
      <c r="AM460" s="166"/>
      <c r="AN460" s="166"/>
      <c r="AO460" s="284">
        <f t="shared" si="25"/>
        <v>0</v>
      </c>
      <c r="AP460" s="562"/>
      <c r="AR460" s="409"/>
    </row>
    <row r="461" spans="2:44" s="83" customFormat="1">
      <c r="B461" s="82" t="s">
        <v>89</v>
      </c>
      <c r="C461" s="82"/>
      <c r="D461" s="80"/>
      <c r="E461" s="81"/>
      <c r="F461" s="81"/>
      <c r="G461" s="81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166"/>
      <c r="AD461" s="166"/>
      <c r="AE461" s="166"/>
      <c r="AF461" s="166"/>
      <c r="AG461" s="166"/>
      <c r="AH461" s="166"/>
      <c r="AI461" s="166"/>
      <c r="AJ461" s="166"/>
      <c r="AK461" s="166"/>
      <c r="AL461" s="166"/>
      <c r="AM461" s="166"/>
      <c r="AN461" s="166"/>
      <c r="AO461" s="284">
        <f t="shared" ref="AO461:AO492" si="26">SUM(I461:AN461)</f>
        <v>0</v>
      </c>
      <c r="AP461" s="562"/>
      <c r="AR461" s="409"/>
    </row>
    <row r="462" spans="2:44" s="83" customFormat="1">
      <c r="B462" s="82" t="s">
        <v>89</v>
      </c>
      <c r="C462" s="82"/>
      <c r="D462" s="80"/>
      <c r="E462" s="81"/>
      <c r="F462" s="81"/>
      <c r="G462" s="81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166"/>
      <c r="AD462" s="166"/>
      <c r="AE462" s="166"/>
      <c r="AF462" s="166"/>
      <c r="AG462" s="166"/>
      <c r="AH462" s="166"/>
      <c r="AI462" s="166"/>
      <c r="AJ462" s="166"/>
      <c r="AK462" s="166"/>
      <c r="AL462" s="166"/>
      <c r="AM462" s="166"/>
      <c r="AN462" s="166"/>
      <c r="AO462" s="284">
        <f t="shared" si="26"/>
        <v>0</v>
      </c>
      <c r="AP462" s="562"/>
      <c r="AR462" s="409"/>
    </row>
    <row r="463" spans="2:44" s="83" customFormat="1">
      <c r="B463" s="82" t="s">
        <v>89</v>
      </c>
      <c r="C463" s="82"/>
      <c r="D463" s="80"/>
      <c r="E463" s="81"/>
      <c r="F463" s="81"/>
      <c r="G463" s="81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166"/>
      <c r="AD463" s="166"/>
      <c r="AE463" s="166"/>
      <c r="AF463" s="166"/>
      <c r="AG463" s="166"/>
      <c r="AH463" s="166"/>
      <c r="AI463" s="166"/>
      <c r="AJ463" s="166"/>
      <c r="AK463" s="166"/>
      <c r="AL463" s="166"/>
      <c r="AM463" s="166"/>
      <c r="AN463" s="166"/>
      <c r="AO463" s="284">
        <f t="shared" si="26"/>
        <v>0</v>
      </c>
      <c r="AP463" s="562"/>
      <c r="AR463" s="409"/>
    </row>
    <row r="464" spans="2:44" s="83" customFormat="1">
      <c r="B464" s="82" t="s">
        <v>89</v>
      </c>
      <c r="C464" s="82"/>
      <c r="D464" s="80"/>
      <c r="E464" s="81"/>
      <c r="F464" s="81"/>
      <c r="G464" s="81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166"/>
      <c r="AD464" s="166"/>
      <c r="AE464" s="358"/>
      <c r="AF464" s="166"/>
      <c r="AG464" s="166"/>
      <c r="AH464" s="166"/>
      <c r="AI464" s="166"/>
      <c r="AJ464" s="166"/>
      <c r="AK464" s="166"/>
      <c r="AL464" s="166"/>
      <c r="AM464" s="166"/>
      <c r="AN464" s="166"/>
      <c r="AO464" s="284">
        <f t="shared" si="26"/>
        <v>0</v>
      </c>
      <c r="AP464" s="562"/>
      <c r="AR464" s="409"/>
    </row>
    <row r="465" spans="2:44" s="83" customFormat="1">
      <c r="B465" s="82" t="s">
        <v>89</v>
      </c>
      <c r="C465" s="82"/>
      <c r="D465" s="80"/>
      <c r="E465" s="81"/>
      <c r="F465" s="81"/>
      <c r="G465" s="81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166"/>
      <c r="AD465" s="166"/>
      <c r="AE465" s="166"/>
      <c r="AF465" s="166"/>
      <c r="AG465" s="166"/>
      <c r="AH465" s="166"/>
      <c r="AI465" s="166"/>
      <c r="AJ465" s="166"/>
      <c r="AK465" s="166"/>
      <c r="AL465" s="166"/>
      <c r="AM465" s="166"/>
      <c r="AN465" s="166"/>
      <c r="AO465" s="284">
        <f t="shared" si="26"/>
        <v>0</v>
      </c>
      <c r="AP465" s="562"/>
      <c r="AR465" s="409"/>
    </row>
    <row r="466" spans="2:44" s="83" customFormat="1">
      <c r="B466" s="82" t="s">
        <v>89</v>
      </c>
      <c r="C466" s="82"/>
      <c r="D466" s="80"/>
      <c r="E466" s="81"/>
      <c r="F466" s="81"/>
      <c r="G466" s="81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75"/>
      <c r="AD466" s="75"/>
      <c r="AE466" s="75"/>
      <c r="AF466" s="75"/>
      <c r="AG466" s="166"/>
      <c r="AH466" s="75"/>
      <c r="AI466" s="75"/>
      <c r="AJ466" s="75"/>
      <c r="AK466" s="166"/>
      <c r="AL466" s="166"/>
      <c r="AM466" s="166"/>
      <c r="AN466" s="75"/>
      <c r="AO466" s="284">
        <f t="shared" si="26"/>
        <v>0</v>
      </c>
      <c r="AP466" s="562"/>
      <c r="AR466" s="409"/>
    </row>
    <row r="467" spans="2:44" s="83" customFormat="1">
      <c r="B467" s="82" t="s">
        <v>89</v>
      </c>
      <c r="C467" s="82"/>
      <c r="D467" s="80"/>
      <c r="E467" s="81"/>
      <c r="F467" s="81"/>
      <c r="G467" s="81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75"/>
      <c r="AD467" s="75"/>
      <c r="AE467" s="75"/>
      <c r="AF467" s="75"/>
      <c r="AG467" s="75"/>
      <c r="AH467" s="75"/>
      <c r="AI467" s="75"/>
      <c r="AJ467" s="75"/>
      <c r="AK467" s="75"/>
      <c r="AL467" s="75"/>
      <c r="AM467" s="75"/>
      <c r="AN467" s="75"/>
      <c r="AO467" s="284">
        <f t="shared" si="26"/>
        <v>0</v>
      </c>
      <c r="AP467" s="562"/>
      <c r="AR467" s="409"/>
    </row>
    <row r="468" spans="2:44" s="83" customFormat="1">
      <c r="B468" s="82" t="s">
        <v>89</v>
      </c>
      <c r="C468" s="82"/>
      <c r="D468" s="80"/>
      <c r="E468" s="81"/>
      <c r="F468" s="81"/>
      <c r="G468" s="81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75"/>
      <c r="AD468" s="75"/>
      <c r="AE468" s="75"/>
      <c r="AF468" s="75"/>
      <c r="AG468" s="75"/>
      <c r="AH468" s="75"/>
      <c r="AI468" s="75"/>
      <c r="AJ468" s="75"/>
      <c r="AK468" s="75"/>
      <c r="AL468" s="75"/>
      <c r="AM468" s="75"/>
      <c r="AN468" s="75"/>
      <c r="AO468" s="284">
        <f t="shared" si="26"/>
        <v>0</v>
      </c>
      <c r="AP468" s="562"/>
      <c r="AR468" s="409"/>
    </row>
    <row r="469" spans="2:44" s="83" customFormat="1">
      <c r="B469" s="82" t="s">
        <v>89</v>
      </c>
      <c r="C469" s="82"/>
      <c r="D469" s="80"/>
      <c r="E469" s="81"/>
      <c r="F469" s="81"/>
      <c r="G469" s="81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75"/>
      <c r="AD469" s="166"/>
      <c r="AE469" s="75"/>
      <c r="AF469" s="75"/>
      <c r="AG469" s="75"/>
      <c r="AH469" s="75"/>
      <c r="AI469" s="75"/>
      <c r="AJ469" s="75"/>
      <c r="AK469" s="75"/>
      <c r="AL469" s="75"/>
      <c r="AM469" s="75"/>
      <c r="AN469" s="75"/>
      <c r="AO469" s="284">
        <f t="shared" si="26"/>
        <v>0</v>
      </c>
      <c r="AP469" s="562"/>
      <c r="AR469" s="409"/>
    </row>
    <row r="470" spans="2:44" s="83" customFormat="1">
      <c r="B470" s="82" t="s">
        <v>89</v>
      </c>
      <c r="C470" s="82"/>
      <c r="D470" s="80"/>
      <c r="E470" s="81"/>
      <c r="F470" s="81"/>
      <c r="G470" s="81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75"/>
      <c r="AD470" s="75"/>
      <c r="AE470" s="75"/>
      <c r="AF470" s="75"/>
      <c r="AG470" s="75"/>
      <c r="AH470" s="75"/>
      <c r="AI470" s="75"/>
      <c r="AJ470" s="75"/>
      <c r="AK470" s="75"/>
      <c r="AL470" s="75"/>
      <c r="AM470" s="75"/>
      <c r="AN470" s="75"/>
      <c r="AO470" s="284">
        <f t="shared" si="26"/>
        <v>0</v>
      </c>
      <c r="AP470" s="562"/>
      <c r="AR470" s="409"/>
    </row>
    <row r="471" spans="2:44" s="83" customFormat="1">
      <c r="B471" s="82" t="s">
        <v>89</v>
      </c>
      <c r="C471" s="82"/>
      <c r="D471" s="80"/>
      <c r="E471" s="81"/>
      <c r="F471" s="81"/>
      <c r="G471" s="81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75"/>
      <c r="AD471" s="75"/>
      <c r="AE471" s="75"/>
      <c r="AF471" s="75"/>
      <c r="AG471" s="75"/>
      <c r="AH471" s="75"/>
      <c r="AI471" s="75"/>
      <c r="AJ471" s="75"/>
      <c r="AK471" s="75"/>
      <c r="AL471" s="75"/>
      <c r="AM471" s="75"/>
      <c r="AN471" s="75"/>
      <c r="AO471" s="284">
        <f t="shared" si="26"/>
        <v>0</v>
      </c>
      <c r="AP471" s="562"/>
      <c r="AR471" s="409"/>
    </row>
    <row r="472" spans="2:44" s="83" customFormat="1">
      <c r="B472" s="82" t="s">
        <v>89</v>
      </c>
      <c r="C472" s="82"/>
      <c r="D472" s="80"/>
      <c r="E472" s="81"/>
      <c r="F472" s="81"/>
      <c r="G472" s="81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75"/>
      <c r="AD472" s="75"/>
      <c r="AE472" s="75"/>
      <c r="AF472" s="75"/>
      <c r="AG472" s="75"/>
      <c r="AH472" s="75"/>
      <c r="AI472" s="75"/>
      <c r="AJ472" s="75"/>
      <c r="AK472" s="75"/>
      <c r="AL472" s="75"/>
      <c r="AM472" s="75"/>
      <c r="AN472" s="75"/>
      <c r="AO472" s="284">
        <f t="shared" si="26"/>
        <v>0</v>
      </c>
      <c r="AP472" s="562"/>
      <c r="AR472" s="409"/>
    </row>
    <row r="473" spans="2:44" s="83" customFormat="1">
      <c r="B473" s="82" t="s">
        <v>89</v>
      </c>
      <c r="C473" s="82"/>
      <c r="D473" s="80"/>
      <c r="E473" s="81"/>
      <c r="F473" s="81"/>
      <c r="G473" s="81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75"/>
      <c r="AD473" s="75"/>
      <c r="AE473" s="75"/>
      <c r="AF473" s="75"/>
      <c r="AG473" s="75"/>
      <c r="AH473" s="75"/>
      <c r="AI473" s="75"/>
      <c r="AJ473" s="75"/>
      <c r="AK473" s="75"/>
      <c r="AL473" s="75"/>
      <c r="AM473" s="75"/>
      <c r="AN473" s="75"/>
      <c r="AO473" s="284">
        <f t="shared" si="26"/>
        <v>0</v>
      </c>
      <c r="AP473" s="562"/>
      <c r="AR473" s="409"/>
    </row>
    <row r="474" spans="2:44" s="83" customFormat="1">
      <c r="B474" s="82" t="s">
        <v>89</v>
      </c>
      <c r="C474" s="82"/>
      <c r="D474" s="80"/>
      <c r="E474" s="81"/>
      <c r="F474" s="81"/>
      <c r="G474" s="81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75"/>
      <c r="AD474" s="75"/>
      <c r="AE474" s="75"/>
      <c r="AF474" s="75"/>
      <c r="AG474" s="75"/>
      <c r="AH474" s="75"/>
      <c r="AI474" s="75"/>
      <c r="AJ474" s="75"/>
      <c r="AK474" s="75"/>
      <c r="AL474" s="75"/>
      <c r="AM474" s="75"/>
      <c r="AN474" s="75"/>
      <c r="AO474" s="284">
        <f t="shared" si="26"/>
        <v>0</v>
      </c>
      <c r="AP474" s="562"/>
      <c r="AR474" s="409"/>
    </row>
    <row r="475" spans="2:44" s="83" customFormat="1" ht="16.5" thickBot="1">
      <c r="B475" s="82" t="s">
        <v>89</v>
      </c>
      <c r="C475" s="82"/>
      <c r="D475" s="80"/>
      <c r="E475" s="81"/>
      <c r="F475" s="81"/>
      <c r="G475" s="81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75"/>
      <c r="AD475" s="75"/>
      <c r="AE475" s="75"/>
      <c r="AF475" s="75"/>
      <c r="AG475" s="75"/>
      <c r="AH475" s="75"/>
      <c r="AI475" s="75"/>
      <c r="AJ475" s="75"/>
      <c r="AK475" s="75"/>
      <c r="AL475" s="75"/>
      <c r="AM475" s="75"/>
      <c r="AN475" s="75"/>
      <c r="AO475" s="284">
        <f t="shared" si="26"/>
        <v>0</v>
      </c>
      <c r="AP475" s="563"/>
      <c r="AR475" s="409"/>
    </row>
    <row r="476" spans="2:44" s="83" customFormat="1">
      <c r="B476" s="82" t="s">
        <v>89</v>
      </c>
      <c r="C476" s="82"/>
      <c r="D476" s="80"/>
      <c r="E476" s="81"/>
      <c r="F476" s="81"/>
      <c r="G476" s="81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75"/>
      <c r="AD476" s="75"/>
      <c r="AE476" s="75"/>
      <c r="AF476" s="75"/>
      <c r="AG476" s="75"/>
      <c r="AH476" s="75"/>
      <c r="AI476" s="75"/>
      <c r="AJ476" s="75"/>
      <c r="AK476" s="75"/>
      <c r="AL476" s="75"/>
      <c r="AM476" s="75"/>
      <c r="AN476" s="75"/>
      <c r="AO476" s="284">
        <f t="shared" si="26"/>
        <v>0</v>
      </c>
      <c r="AP476" s="561">
        <f>SUM(AO476:AO483)</f>
        <v>0</v>
      </c>
      <c r="AR476" s="409"/>
    </row>
    <row r="477" spans="2:44" s="83" customFormat="1">
      <c r="B477" s="82" t="s">
        <v>89</v>
      </c>
      <c r="C477" s="82"/>
      <c r="D477" s="80"/>
      <c r="E477" s="81"/>
      <c r="F477" s="81"/>
      <c r="G477" s="81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75"/>
      <c r="AD477" s="75"/>
      <c r="AE477" s="75"/>
      <c r="AF477" s="75"/>
      <c r="AG477" s="75"/>
      <c r="AH477" s="75"/>
      <c r="AI477" s="75"/>
      <c r="AJ477" s="75"/>
      <c r="AK477" s="75"/>
      <c r="AL477" s="75"/>
      <c r="AM477" s="75"/>
      <c r="AN477" s="75"/>
      <c r="AO477" s="284">
        <f t="shared" si="26"/>
        <v>0</v>
      </c>
      <c r="AP477" s="562"/>
      <c r="AR477" s="409"/>
    </row>
    <row r="478" spans="2:44" s="83" customFormat="1">
      <c r="B478" s="82" t="s">
        <v>89</v>
      </c>
      <c r="C478" s="82"/>
      <c r="D478" s="80"/>
      <c r="E478" s="81"/>
      <c r="F478" s="81"/>
      <c r="G478" s="81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75"/>
      <c r="AD478" s="75"/>
      <c r="AE478" s="75"/>
      <c r="AF478" s="75"/>
      <c r="AG478" s="75"/>
      <c r="AH478" s="75"/>
      <c r="AI478" s="75"/>
      <c r="AJ478" s="75"/>
      <c r="AK478" s="75"/>
      <c r="AL478" s="75"/>
      <c r="AM478" s="75"/>
      <c r="AN478" s="75"/>
      <c r="AO478" s="284">
        <f t="shared" si="26"/>
        <v>0</v>
      </c>
      <c r="AP478" s="562"/>
      <c r="AR478" s="409"/>
    </row>
    <row r="479" spans="2:44" s="83" customFormat="1">
      <c r="B479" s="82" t="s">
        <v>89</v>
      </c>
      <c r="C479" s="82"/>
      <c r="D479" s="80"/>
      <c r="E479" s="81"/>
      <c r="F479" s="81"/>
      <c r="G479" s="81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75"/>
      <c r="AD479" s="75"/>
      <c r="AE479" s="75"/>
      <c r="AF479" s="75"/>
      <c r="AG479" s="75"/>
      <c r="AH479" s="75"/>
      <c r="AI479" s="75"/>
      <c r="AJ479" s="75"/>
      <c r="AK479" s="75"/>
      <c r="AL479" s="75"/>
      <c r="AM479" s="75"/>
      <c r="AN479" s="75"/>
      <c r="AO479" s="284">
        <f t="shared" si="26"/>
        <v>0</v>
      </c>
      <c r="AP479" s="562"/>
      <c r="AR479" s="409"/>
    </row>
    <row r="480" spans="2:44" s="83" customFormat="1">
      <c r="B480" s="82" t="s">
        <v>89</v>
      </c>
      <c r="C480" s="82"/>
      <c r="D480" s="80"/>
      <c r="E480" s="81"/>
      <c r="F480" s="81"/>
      <c r="G480" s="81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75"/>
      <c r="AD480" s="75"/>
      <c r="AE480" s="75"/>
      <c r="AF480" s="75"/>
      <c r="AG480" s="75"/>
      <c r="AH480" s="75"/>
      <c r="AI480" s="75"/>
      <c r="AJ480" s="75"/>
      <c r="AK480" s="75"/>
      <c r="AL480" s="75"/>
      <c r="AM480" s="75"/>
      <c r="AN480" s="75"/>
      <c r="AO480" s="284">
        <f t="shared" si="26"/>
        <v>0</v>
      </c>
      <c r="AP480" s="562"/>
      <c r="AR480" s="409"/>
    </row>
    <row r="481" spans="2:44" s="83" customFormat="1">
      <c r="B481" s="82" t="s">
        <v>89</v>
      </c>
      <c r="C481" s="82"/>
      <c r="D481" s="80"/>
      <c r="E481" s="81"/>
      <c r="F481" s="81"/>
      <c r="G481" s="81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75"/>
      <c r="AD481" s="75"/>
      <c r="AE481" s="75"/>
      <c r="AF481" s="75"/>
      <c r="AG481" s="75"/>
      <c r="AH481" s="75"/>
      <c r="AI481" s="75"/>
      <c r="AJ481" s="75"/>
      <c r="AK481" s="75"/>
      <c r="AL481" s="75"/>
      <c r="AM481" s="75"/>
      <c r="AN481" s="75"/>
      <c r="AO481" s="284">
        <f t="shared" si="26"/>
        <v>0</v>
      </c>
      <c r="AP481" s="562"/>
      <c r="AR481" s="409"/>
    </row>
    <row r="482" spans="2:44" s="83" customFormat="1">
      <c r="B482" s="82" t="s">
        <v>89</v>
      </c>
      <c r="C482" s="82"/>
      <c r="D482" s="80"/>
      <c r="E482" s="81"/>
      <c r="F482" s="81"/>
      <c r="G482" s="81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75"/>
      <c r="AD482" s="75"/>
      <c r="AE482" s="75"/>
      <c r="AF482" s="75"/>
      <c r="AG482" s="75"/>
      <c r="AH482" s="75"/>
      <c r="AI482" s="75"/>
      <c r="AJ482" s="75"/>
      <c r="AK482" s="75"/>
      <c r="AL482" s="75"/>
      <c r="AM482" s="75"/>
      <c r="AN482" s="75"/>
      <c r="AO482" s="284">
        <f t="shared" si="26"/>
        <v>0</v>
      </c>
      <c r="AP482" s="562"/>
      <c r="AR482" s="409"/>
    </row>
    <row r="483" spans="2:44" s="83" customFormat="1" ht="16.5" thickBot="1">
      <c r="B483" s="82" t="s">
        <v>89</v>
      </c>
      <c r="C483" s="82"/>
      <c r="D483" s="80"/>
      <c r="E483" s="81"/>
      <c r="F483" s="81"/>
      <c r="G483" s="81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75"/>
      <c r="AD483" s="75"/>
      <c r="AE483" s="75"/>
      <c r="AF483" s="75"/>
      <c r="AG483" s="75"/>
      <c r="AH483" s="75"/>
      <c r="AI483" s="75"/>
      <c r="AJ483" s="75"/>
      <c r="AK483" s="75"/>
      <c r="AL483" s="75"/>
      <c r="AM483" s="75"/>
      <c r="AN483" s="75"/>
      <c r="AO483" s="284">
        <f t="shared" si="26"/>
        <v>0</v>
      </c>
      <c r="AP483" s="563"/>
      <c r="AR483" s="409"/>
    </row>
    <row r="484" spans="2:44" s="83" customFormat="1">
      <c r="B484" s="82" t="s">
        <v>89</v>
      </c>
      <c r="C484" s="79"/>
      <c r="D484" s="80"/>
      <c r="E484" s="81"/>
      <c r="F484" s="81"/>
      <c r="G484" s="81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75"/>
      <c r="AD484" s="75"/>
      <c r="AE484" s="75"/>
      <c r="AF484" s="75"/>
      <c r="AG484" s="75"/>
      <c r="AH484" s="75"/>
      <c r="AI484" s="75"/>
      <c r="AJ484" s="75"/>
      <c r="AK484" s="75"/>
      <c r="AL484" s="75"/>
      <c r="AM484" s="75"/>
      <c r="AN484" s="75"/>
      <c r="AO484" s="284">
        <f t="shared" si="26"/>
        <v>0</v>
      </c>
      <c r="AP484" s="561">
        <f>SUM(AO484:AO490)</f>
        <v>0</v>
      </c>
      <c r="AR484" s="409"/>
    </row>
    <row r="485" spans="2:44" s="83" customFormat="1">
      <c r="B485" s="82" t="s">
        <v>89</v>
      </c>
      <c r="C485" s="79"/>
      <c r="D485" s="80"/>
      <c r="E485" s="81"/>
      <c r="F485" s="81"/>
      <c r="G485" s="81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75"/>
      <c r="AD485" s="75"/>
      <c r="AE485" s="75"/>
      <c r="AF485" s="75"/>
      <c r="AG485" s="75"/>
      <c r="AH485" s="75"/>
      <c r="AI485" s="75"/>
      <c r="AJ485" s="75"/>
      <c r="AK485" s="75"/>
      <c r="AL485" s="75"/>
      <c r="AM485" s="75"/>
      <c r="AN485" s="75"/>
      <c r="AO485" s="284">
        <f t="shared" si="26"/>
        <v>0</v>
      </c>
      <c r="AP485" s="562"/>
      <c r="AR485" s="409"/>
    </row>
    <row r="486" spans="2:44" s="83" customFormat="1">
      <c r="B486" s="82" t="s">
        <v>89</v>
      </c>
      <c r="C486" s="79"/>
      <c r="D486" s="80"/>
      <c r="E486" s="81"/>
      <c r="F486" s="81"/>
      <c r="G486" s="81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75"/>
      <c r="AD486" s="75"/>
      <c r="AE486" s="75"/>
      <c r="AF486" s="75"/>
      <c r="AG486" s="75"/>
      <c r="AH486" s="75"/>
      <c r="AI486" s="75"/>
      <c r="AJ486" s="75"/>
      <c r="AK486" s="75"/>
      <c r="AL486" s="75"/>
      <c r="AM486" s="75"/>
      <c r="AN486" s="75"/>
      <c r="AO486" s="284">
        <f t="shared" si="26"/>
        <v>0</v>
      </c>
      <c r="AP486" s="562"/>
      <c r="AR486" s="409"/>
    </row>
    <row r="487" spans="2:44" s="83" customFormat="1">
      <c r="B487" s="82" t="s">
        <v>89</v>
      </c>
      <c r="C487" s="79"/>
      <c r="D487" s="80"/>
      <c r="E487" s="81"/>
      <c r="F487" s="81"/>
      <c r="G487" s="81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75"/>
      <c r="AD487" s="75"/>
      <c r="AE487" s="75"/>
      <c r="AF487" s="75"/>
      <c r="AG487" s="75"/>
      <c r="AH487" s="75"/>
      <c r="AI487" s="75"/>
      <c r="AJ487" s="75"/>
      <c r="AK487" s="75"/>
      <c r="AL487" s="75"/>
      <c r="AM487" s="75"/>
      <c r="AN487" s="75"/>
      <c r="AO487" s="284">
        <f t="shared" si="26"/>
        <v>0</v>
      </c>
      <c r="AP487" s="562"/>
      <c r="AR487" s="409"/>
    </row>
    <row r="488" spans="2:44" s="83" customFormat="1">
      <c r="B488" s="82" t="s">
        <v>89</v>
      </c>
      <c r="C488" s="79"/>
      <c r="D488" s="80"/>
      <c r="E488" s="81"/>
      <c r="F488" s="81"/>
      <c r="G488" s="81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75"/>
      <c r="AD488" s="75"/>
      <c r="AE488" s="75"/>
      <c r="AF488" s="75"/>
      <c r="AG488" s="166"/>
      <c r="AH488" s="75"/>
      <c r="AI488" s="75"/>
      <c r="AJ488" s="75"/>
      <c r="AK488" s="75"/>
      <c r="AL488" s="75"/>
      <c r="AM488" s="75"/>
      <c r="AN488" s="75"/>
      <c r="AO488" s="284">
        <f t="shared" si="26"/>
        <v>0</v>
      </c>
      <c r="AP488" s="562"/>
      <c r="AR488" s="409"/>
    </row>
    <row r="489" spans="2:44" s="83" customFormat="1">
      <c r="B489" s="82" t="s">
        <v>89</v>
      </c>
      <c r="C489" s="79"/>
      <c r="D489" s="80"/>
      <c r="E489" s="81"/>
      <c r="F489" s="81"/>
      <c r="G489" s="81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75"/>
      <c r="AD489" s="75"/>
      <c r="AE489" s="75"/>
      <c r="AF489" s="75"/>
      <c r="AG489" s="166"/>
      <c r="AH489" s="75"/>
      <c r="AI489" s="75"/>
      <c r="AJ489" s="75"/>
      <c r="AK489" s="75"/>
      <c r="AL489" s="75"/>
      <c r="AM489" s="75"/>
      <c r="AN489" s="75"/>
      <c r="AO489" s="284">
        <f t="shared" si="26"/>
        <v>0</v>
      </c>
      <c r="AP489" s="562"/>
      <c r="AR489" s="409"/>
    </row>
    <row r="490" spans="2:44" s="83" customFormat="1" ht="16.5" thickBot="1">
      <c r="B490" s="82" t="s">
        <v>89</v>
      </c>
      <c r="C490" s="79"/>
      <c r="D490" s="80"/>
      <c r="E490" s="81"/>
      <c r="F490" s="81"/>
      <c r="G490" s="81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75"/>
      <c r="AD490" s="75"/>
      <c r="AE490" s="75"/>
      <c r="AF490" s="75"/>
      <c r="AG490" s="166"/>
      <c r="AH490" s="75"/>
      <c r="AI490" s="75"/>
      <c r="AJ490" s="75"/>
      <c r="AK490" s="75"/>
      <c r="AL490" s="75"/>
      <c r="AM490" s="75"/>
      <c r="AN490" s="75"/>
      <c r="AO490" s="284">
        <f t="shared" si="26"/>
        <v>0</v>
      </c>
      <c r="AP490" s="562"/>
      <c r="AR490" s="409"/>
    </row>
    <row r="491" spans="2:44" s="83" customFormat="1">
      <c r="B491" s="82" t="s">
        <v>89</v>
      </c>
      <c r="C491" s="79"/>
      <c r="D491" s="80"/>
      <c r="E491" s="81"/>
      <c r="F491" s="81"/>
      <c r="G491" s="81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75"/>
      <c r="AD491" s="75"/>
      <c r="AE491" s="75"/>
      <c r="AF491" s="75"/>
      <c r="AG491" s="166"/>
      <c r="AH491" s="75"/>
      <c r="AI491" s="75"/>
      <c r="AJ491" s="75"/>
      <c r="AK491" s="75"/>
      <c r="AL491" s="75"/>
      <c r="AM491" s="75"/>
      <c r="AN491" s="75"/>
      <c r="AO491" s="284">
        <f t="shared" si="26"/>
        <v>0</v>
      </c>
      <c r="AP491" s="561">
        <f>SUM(AO491:AO496)</f>
        <v>0</v>
      </c>
      <c r="AR491" s="409"/>
    </row>
    <row r="492" spans="2:44" s="83" customFormat="1">
      <c r="B492" s="82" t="s">
        <v>89</v>
      </c>
      <c r="C492" s="79"/>
      <c r="D492" s="80"/>
      <c r="E492" s="81"/>
      <c r="F492" s="81"/>
      <c r="G492" s="81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75"/>
      <c r="AD492" s="75"/>
      <c r="AE492" s="75"/>
      <c r="AF492" s="75"/>
      <c r="AG492" s="166"/>
      <c r="AH492" s="75"/>
      <c r="AI492" s="75"/>
      <c r="AJ492" s="75"/>
      <c r="AK492" s="75"/>
      <c r="AL492" s="75"/>
      <c r="AM492" s="75"/>
      <c r="AN492" s="75"/>
      <c r="AO492" s="284">
        <f t="shared" si="26"/>
        <v>0</v>
      </c>
      <c r="AP492" s="562"/>
      <c r="AR492" s="409"/>
    </row>
    <row r="493" spans="2:44" s="83" customFormat="1">
      <c r="B493" s="82" t="s">
        <v>89</v>
      </c>
      <c r="C493" s="79"/>
      <c r="D493" s="80"/>
      <c r="E493" s="81"/>
      <c r="F493" s="81"/>
      <c r="G493" s="81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75"/>
      <c r="AD493" s="75"/>
      <c r="AE493" s="75"/>
      <c r="AF493" s="75"/>
      <c r="AG493" s="166"/>
      <c r="AH493" s="75"/>
      <c r="AI493" s="75"/>
      <c r="AJ493" s="75"/>
      <c r="AK493" s="75"/>
      <c r="AL493" s="75"/>
      <c r="AM493" s="75"/>
      <c r="AN493" s="75"/>
      <c r="AO493" s="284">
        <f t="shared" ref="AO493:AO524" si="27">SUM(I493:AN493)</f>
        <v>0</v>
      </c>
      <c r="AP493" s="562"/>
      <c r="AR493" s="409"/>
    </row>
    <row r="494" spans="2:44" s="83" customFormat="1">
      <c r="B494" s="82" t="s">
        <v>89</v>
      </c>
      <c r="C494" s="79"/>
      <c r="D494" s="80"/>
      <c r="E494" s="81"/>
      <c r="F494" s="81"/>
      <c r="G494" s="81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75"/>
      <c r="AD494" s="75"/>
      <c r="AE494" s="75"/>
      <c r="AF494" s="75"/>
      <c r="AG494" s="166"/>
      <c r="AH494" s="75"/>
      <c r="AI494" s="75"/>
      <c r="AJ494" s="75"/>
      <c r="AK494" s="75"/>
      <c r="AL494" s="75"/>
      <c r="AM494" s="75"/>
      <c r="AN494" s="75"/>
      <c r="AO494" s="284">
        <f t="shared" si="27"/>
        <v>0</v>
      </c>
      <c r="AP494" s="562"/>
      <c r="AR494" s="409"/>
    </row>
    <row r="495" spans="2:44" s="83" customFormat="1">
      <c r="B495" s="82" t="s">
        <v>89</v>
      </c>
      <c r="C495" s="79"/>
      <c r="D495" s="80"/>
      <c r="E495" s="81"/>
      <c r="F495" s="81"/>
      <c r="G495" s="81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75"/>
      <c r="AD495" s="75"/>
      <c r="AE495" s="75"/>
      <c r="AF495" s="75"/>
      <c r="AG495" s="166"/>
      <c r="AH495" s="75"/>
      <c r="AI495" s="75"/>
      <c r="AJ495" s="75"/>
      <c r="AK495" s="75"/>
      <c r="AL495" s="75"/>
      <c r="AM495" s="75"/>
      <c r="AN495" s="75"/>
      <c r="AO495" s="284">
        <f t="shared" si="27"/>
        <v>0</v>
      </c>
      <c r="AP495" s="562"/>
      <c r="AR495" s="409"/>
    </row>
    <row r="496" spans="2:44" s="83" customFormat="1" ht="16.5" thickBot="1">
      <c r="B496" s="82" t="s">
        <v>89</v>
      </c>
      <c r="C496" s="79"/>
      <c r="D496" s="80"/>
      <c r="E496" s="81"/>
      <c r="F496" s="81"/>
      <c r="G496" s="81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75"/>
      <c r="AD496" s="75"/>
      <c r="AE496" s="75"/>
      <c r="AF496" s="75"/>
      <c r="AG496" s="166"/>
      <c r="AH496" s="75"/>
      <c r="AI496" s="75"/>
      <c r="AJ496" s="75"/>
      <c r="AK496" s="75"/>
      <c r="AL496" s="75"/>
      <c r="AM496" s="75"/>
      <c r="AN496" s="75"/>
      <c r="AO496" s="284">
        <f t="shared" si="27"/>
        <v>0</v>
      </c>
      <c r="AP496" s="563"/>
      <c r="AR496" s="409"/>
    </row>
    <row r="497" spans="2:44" s="83" customFormat="1">
      <c r="B497" s="82" t="s">
        <v>89</v>
      </c>
      <c r="C497" s="79"/>
      <c r="D497" s="80"/>
      <c r="E497" s="81"/>
      <c r="F497" s="81"/>
      <c r="G497" s="81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75"/>
      <c r="AD497" s="75"/>
      <c r="AE497" s="75"/>
      <c r="AF497" s="75"/>
      <c r="AG497" s="166"/>
      <c r="AH497" s="75"/>
      <c r="AI497" s="75"/>
      <c r="AJ497" s="75"/>
      <c r="AK497" s="75"/>
      <c r="AL497" s="75"/>
      <c r="AM497" s="75"/>
      <c r="AN497" s="75"/>
      <c r="AO497" s="284">
        <f t="shared" si="27"/>
        <v>0</v>
      </c>
      <c r="AP497" s="191"/>
      <c r="AR497" s="409"/>
    </row>
    <row r="498" spans="2:44" s="83" customFormat="1">
      <c r="B498" s="82" t="s">
        <v>89</v>
      </c>
      <c r="C498" s="79"/>
      <c r="D498" s="80"/>
      <c r="E498" s="81"/>
      <c r="F498" s="81"/>
      <c r="G498" s="81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75"/>
      <c r="AD498" s="75"/>
      <c r="AE498" s="75"/>
      <c r="AF498" s="75"/>
      <c r="AG498" s="75"/>
      <c r="AH498" s="75"/>
      <c r="AI498" s="75"/>
      <c r="AJ498" s="75"/>
      <c r="AK498" s="75"/>
      <c r="AL498" s="75"/>
      <c r="AM498" s="75"/>
      <c r="AN498" s="75"/>
      <c r="AO498" s="284">
        <f t="shared" si="27"/>
        <v>0</v>
      </c>
      <c r="AP498" s="191"/>
      <c r="AR498" s="409"/>
    </row>
    <row r="499" spans="2:44" s="83" customFormat="1">
      <c r="B499" s="82" t="s">
        <v>89</v>
      </c>
      <c r="C499" s="79"/>
      <c r="D499" s="80"/>
      <c r="E499" s="81"/>
      <c r="F499" s="81"/>
      <c r="G499" s="81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75"/>
      <c r="AD499" s="75"/>
      <c r="AE499" s="75"/>
      <c r="AF499" s="75"/>
      <c r="AG499" s="75"/>
      <c r="AH499" s="75"/>
      <c r="AI499" s="75"/>
      <c r="AJ499" s="75"/>
      <c r="AK499" s="75"/>
      <c r="AL499" s="75"/>
      <c r="AM499" s="75"/>
      <c r="AN499" s="75"/>
      <c r="AO499" s="284">
        <f t="shared" si="27"/>
        <v>0</v>
      </c>
      <c r="AP499" s="191"/>
      <c r="AR499" s="409"/>
    </row>
    <row r="500" spans="2:44" s="83" customFormat="1">
      <c r="B500" s="82" t="s">
        <v>89</v>
      </c>
      <c r="C500" s="79"/>
      <c r="D500" s="80"/>
      <c r="E500" s="81"/>
      <c r="F500" s="81"/>
      <c r="G500" s="81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75"/>
      <c r="AD500" s="75"/>
      <c r="AE500" s="75"/>
      <c r="AF500" s="75"/>
      <c r="AG500" s="75"/>
      <c r="AH500" s="75"/>
      <c r="AI500" s="75"/>
      <c r="AJ500" s="75"/>
      <c r="AK500" s="75"/>
      <c r="AL500" s="75"/>
      <c r="AM500" s="75"/>
      <c r="AN500" s="75"/>
      <c r="AO500" s="284">
        <f t="shared" si="27"/>
        <v>0</v>
      </c>
      <c r="AP500" s="191"/>
      <c r="AR500" s="409"/>
    </row>
    <row r="501" spans="2:44" s="83" customFormat="1">
      <c r="B501" s="82" t="s">
        <v>89</v>
      </c>
      <c r="C501" s="79"/>
      <c r="D501" s="80"/>
      <c r="E501" s="81"/>
      <c r="F501" s="81"/>
      <c r="G501" s="81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75"/>
      <c r="AD501" s="75"/>
      <c r="AE501" s="75"/>
      <c r="AF501" s="75"/>
      <c r="AG501" s="75"/>
      <c r="AH501" s="75"/>
      <c r="AI501" s="75"/>
      <c r="AJ501" s="75"/>
      <c r="AK501" s="75"/>
      <c r="AL501" s="75"/>
      <c r="AM501" s="75"/>
      <c r="AN501" s="75"/>
      <c r="AO501" s="284">
        <f t="shared" si="27"/>
        <v>0</v>
      </c>
      <c r="AP501" s="191"/>
      <c r="AR501" s="409"/>
    </row>
    <row r="502" spans="2:44" s="83" customFormat="1">
      <c r="B502" s="82" t="s">
        <v>89</v>
      </c>
      <c r="C502" s="79"/>
      <c r="D502" s="80"/>
      <c r="E502" s="81"/>
      <c r="F502" s="81"/>
      <c r="G502" s="81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75"/>
      <c r="AD502" s="75"/>
      <c r="AE502" s="75"/>
      <c r="AF502" s="75"/>
      <c r="AG502" s="75"/>
      <c r="AH502" s="75"/>
      <c r="AI502" s="75"/>
      <c r="AJ502" s="75"/>
      <c r="AK502" s="75"/>
      <c r="AL502" s="75"/>
      <c r="AM502" s="75"/>
      <c r="AN502" s="75"/>
      <c r="AO502" s="284">
        <f t="shared" si="27"/>
        <v>0</v>
      </c>
      <c r="AP502" s="191"/>
      <c r="AR502" s="409"/>
    </row>
    <row r="503" spans="2:44" s="83" customFormat="1">
      <c r="B503" s="82" t="s">
        <v>89</v>
      </c>
      <c r="C503" s="79"/>
      <c r="D503" s="80"/>
      <c r="E503" s="81"/>
      <c r="F503" s="81"/>
      <c r="G503" s="81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75"/>
      <c r="AD503" s="75"/>
      <c r="AE503" s="75"/>
      <c r="AF503" s="75"/>
      <c r="AG503" s="75"/>
      <c r="AH503" s="75"/>
      <c r="AI503" s="75"/>
      <c r="AJ503" s="75"/>
      <c r="AK503" s="75"/>
      <c r="AL503" s="75"/>
      <c r="AM503" s="75"/>
      <c r="AN503" s="75"/>
      <c r="AO503" s="284">
        <f t="shared" si="27"/>
        <v>0</v>
      </c>
      <c r="AP503" s="191"/>
      <c r="AR503" s="409"/>
    </row>
    <row r="504" spans="2:44" s="83" customFormat="1">
      <c r="B504" s="82" t="s">
        <v>89</v>
      </c>
      <c r="C504" s="79"/>
      <c r="D504" s="80"/>
      <c r="E504" s="81"/>
      <c r="F504" s="81"/>
      <c r="G504" s="81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75"/>
      <c r="AD504" s="75"/>
      <c r="AE504" s="75"/>
      <c r="AF504" s="75"/>
      <c r="AG504" s="166"/>
      <c r="AH504" s="75"/>
      <c r="AI504" s="75"/>
      <c r="AJ504" s="75"/>
      <c r="AK504" s="75"/>
      <c r="AL504" s="75"/>
      <c r="AM504" s="75"/>
      <c r="AN504" s="75"/>
      <c r="AO504" s="284">
        <f t="shared" si="27"/>
        <v>0</v>
      </c>
      <c r="AP504" s="191"/>
      <c r="AR504" s="409"/>
    </row>
    <row r="505" spans="2:44" s="83" customFormat="1">
      <c r="B505" s="82" t="s">
        <v>89</v>
      </c>
      <c r="C505" s="79"/>
      <c r="D505" s="80"/>
      <c r="E505" s="81"/>
      <c r="F505" s="81"/>
      <c r="G505" s="81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75"/>
      <c r="AD505" s="75"/>
      <c r="AE505" s="75"/>
      <c r="AF505" s="75"/>
      <c r="AG505" s="75"/>
      <c r="AH505" s="75"/>
      <c r="AI505" s="75"/>
      <c r="AJ505" s="75"/>
      <c r="AK505" s="75"/>
      <c r="AL505" s="75"/>
      <c r="AM505" s="75"/>
      <c r="AN505" s="75"/>
      <c r="AO505" s="284">
        <f t="shared" si="27"/>
        <v>0</v>
      </c>
      <c r="AP505" s="191"/>
      <c r="AR505" s="409"/>
    </row>
    <row r="506" spans="2:44" s="83" customFormat="1">
      <c r="B506" s="82" t="s">
        <v>89</v>
      </c>
      <c r="C506" s="79"/>
      <c r="D506" s="80"/>
      <c r="E506" s="81"/>
      <c r="F506" s="81"/>
      <c r="G506" s="81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75"/>
      <c r="AD506" s="75"/>
      <c r="AE506" s="75"/>
      <c r="AF506" s="75"/>
      <c r="AG506" s="75"/>
      <c r="AH506" s="75"/>
      <c r="AI506" s="75"/>
      <c r="AJ506" s="75"/>
      <c r="AK506" s="75"/>
      <c r="AL506" s="75"/>
      <c r="AM506" s="75"/>
      <c r="AN506" s="75"/>
      <c r="AO506" s="284">
        <f t="shared" si="27"/>
        <v>0</v>
      </c>
      <c r="AP506" s="191"/>
      <c r="AR506" s="409"/>
    </row>
    <row r="507" spans="2:44" s="83" customFormat="1">
      <c r="B507" s="82" t="s">
        <v>89</v>
      </c>
      <c r="C507" s="79"/>
      <c r="D507" s="80"/>
      <c r="E507" s="81"/>
      <c r="F507" s="81"/>
      <c r="G507" s="81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75"/>
      <c r="AD507" s="75"/>
      <c r="AE507" s="75"/>
      <c r="AF507" s="75"/>
      <c r="AG507" s="75"/>
      <c r="AH507" s="75"/>
      <c r="AI507" s="75"/>
      <c r="AJ507" s="75"/>
      <c r="AK507" s="75"/>
      <c r="AL507" s="75"/>
      <c r="AM507" s="75"/>
      <c r="AN507" s="75"/>
      <c r="AO507" s="284">
        <f t="shared" si="27"/>
        <v>0</v>
      </c>
      <c r="AP507" s="191"/>
      <c r="AR507" s="409"/>
    </row>
    <row r="508" spans="2:44" s="83" customFormat="1">
      <c r="B508" s="82" t="s">
        <v>89</v>
      </c>
      <c r="C508" s="79"/>
      <c r="D508" s="80"/>
      <c r="E508" s="81"/>
      <c r="F508" s="81"/>
      <c r="G508" s="81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75"/>
      <c r="AD508" s="75"/>
      <c r="AE508" s="75"/>
      <c r="AF508" s="75"/>
      <c r="AG508" s="75"/>
      <c r="AH508" s="75"/>
      <c r="AI508" s="75"/>
      <c r="AJ508" s="75"/>
      <c r="AK508" s="75"/>
      <c r="AL508" s="75"/>
      <c r="AM508" s="75"/>
      <c r="AN508" s="75"/>
      <c r="AO508" s="284">
        <f t="shared" si="27"/>
        <v>0</v>
      </c>
      <c r="AP508" s="191"/>
      <c r="AR508" s="409"/>
    </row>
    <row r="509" spans="2:44" s="83" customFormat="1">
      <c r="B509" s="82" t="s">
        <v>89</v>
      </c>
      <c r="C509" s="79"/>
      <c r="D509" s="80"/>
      <c r="E509" s="81"/>
      <c r="F509" s="81"/>
      <c r="G509" s="81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75"/>
      <c r="AD509" s="75"/>
      <c r="AE509" s="75"/>
      <c r="AF509" s="75"/>
      <c r="AG509" s="166"/>
      <c r="AH509" s="75"/>
      <c r="AI509" s="75"/>
      <c r="AJ509" s="75"/>
      <c r="AK509" s="75"/>
      <c r="AL509" s="75"/>
      <c r="AM509" s="75"/>
      <c r="AN509" s="75"/>
      <c r="AO509" s="284">
        <f t="shared" si="27"/>
        <v>0</v>
      </c>
      <c r="AP509" s="191"/>
      <c r="AR509" s="409"/>
    </row>
    <row r="510" spans="2:44" s="83" customFormat="1">
      <c r="B510" s="82" t="s">
        <v>89</v>
      </c>
      <c r="C510" s="79"/>
      <c r="D510" s="80"/>
      <c r="E510" s="81"/>
      <c r="F510" s="81"/>
      <c r="G510" s="81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75"/>
      <c r="AD510" s="75"/>
      <c r="AE510" s="75"/>
      <c r="AF510" s="75"/>
      <c r="AG510" s="75"/>
      <c r="AH510" s="75"/>
      <c r="AI510" s="75"/>
      <c r="AJ510" s="75"/>
      <c r="AK510" s="75"/>
      <c r="AL510" s="75"/>
      <c r="AM510" s="75"/>
      <c r="AN510" s="75"/>
      <c r="AO510" s="284">
        <f t="shared" si="27"/>
        <v>0</v>
      </c>
      <c r="AP510" s="191"/>
      <c r="AR510" s="409"/>
    </row>
    <row r="511" spans="2:44" s="83" customFormat="1">
      <c r="B511" s="82" t="s">
        <v>89</v>
      </c>
      <c r="C511" s="79"/>
      <c r="D511" s="80"/>
      <c r="E511" s="81"/>
      <c r="F511" s="81"/>
      <c r="G511" s="81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75"/>
      <c r="AD511" s="75"/>
      <c r="AE511" s="75"/>
      <c r="AF511" s="75"/>
      <c r="AG511" s="75"/>
      <c r="AH511" s="75"/>
      <c r="AI511" s="75"/>
      <c r="AJ511" s="75"/>
      <c r="AK511" s="75"/>
      <c r="AL511" s="75"/>
      <c r="AM511" s="75"/>
      <c r="AN511" s="75"/>
      <c r="AO511" s="284">
        <f t="shared" si="27"/>
        <v>0</v>
      </c>
      <c r="AP511" s="191"/>
      <c r="AR511" s="409"/>
    </row>
    <row r="512" spans="2:44" s="83" customFormat="1">
      <c r="B512" s="82" t="s">
        <v>89</v>
      </c>
      <c r="C512" s="79"/>
      <c r="D512" s="80"/>
      <c r="E512" s="81"/>
      <c r="F512" s="81"/>
      <c r="G512" s="81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75"/>
      <c r="AD512" s="75"/>
      <c r="AE512" s="75"/>
      <c r="AF512" s="75"/>
      <c r="AG512" s="75"/>
      <c r="AH512" s="75"/>
      <c r="AI512" s="75"/>
      <c r="AJ512" s="75"/>
      <c r="AK512" s="75"/>
      <c r="AL512" s="75"/>
      <c r="AM512" s="75"/>
      <c r="AN512" s="75"/>
      <c r="AO512" s="284">
        <f t="shared" si="27"/>
        <v>0</v>
      </c>
      <c r="AP512" s="191"/>
      <c r="AR512" s="409"/>
    </row>
    <row r="513" spans="2:44" s="83" customFormat="1" ht="16.5" thickBot="1">
      <c r="B513" s="82" t="s">
        <v>89</v>
      </c>
      <c r="C513" s="79"/>
      <c r="D513" s="80"/>
      <c r="E513" s="81"/>
      <c r="F513" s="81"/>
      <c r="G513" s="81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75"/>
      <c r="AD513" s="75"/>
      <c r="AE513" s="75"/>
      <c r="AF513" s="75"/>
      <c r="AG513" s="75"/>
      <c r="AH513" s="75"/>
      <c r="AI513" s="75"/>
      <c r="AJ513" s="75"/>
      <c r="AK513" s="75"/>
      <c r="AL513" s="75"/>
      <c r="AM513" s="75"/>
      <c r="AN513" s="75"/>
      <c r="AO513" s="284">
        <f t="shared" si="27"/>
        <v>0</v>
      </c>
      <c r="AP513" s="231"/>
      <c r="AR513" s="409"/>
    </row>
    <row r="514" spans="2:44" s="83" customFormat="1">
      <c r="B514" s="82" t="s">
        <v>89</v>
      </c>
      <c r="C514" s="79"/>
      <c r="D514" s="80"/>
      <c r="E514" s="81"/>
      <c r="F514" s="81"/>
      <c r="G514" s="81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75"/>
      <c r="AD514" s="75"/>
      <c r="AE514" s="75"/>
      <c r="AF514" s="75"/>
      <c r="AG514" s="75"/>
      <c r="AH514" s="75"/>
      <c r="AI514" s="75"/>
      <c r="AJ514" s="75"/>
      <c r="AK514" s="75"/>
      <c r="AL514" s="75"/>
      <c r="AM514" s="75"/>
      <c r="AN514" s="75"/>
      <c r="AO514" s="284">
        <f t="shared" si="27"/>
        <v>0</v>
      </c>
      <c r="AP514" s="561">
        <f>SUM(AO514:AO542)</f>
        <v>0</v>
      </c>
      <c r="AR514" s="409"/>
    </row>
    <row r="515" spans="2:44" s="83" customFormat="1">
      <c r="B515" s="82" t="s">
        <v>89</v>
      </c>
      <c r="C515" s="79"/>
      <c r="D515" s="80"/>
      <c r="E515" s="81"/>
      <c r="F515" s="81"/>
      <c r="G515" s="81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75"/>
      <c r="AD515" s="75"/>
      <c r="AE515" s="75"/>
      <c r="AF515" s="75"/>
      <c r="AG515" s="75"/>
      <c r="AH515" s="75"/>
      <c r="AI515" s="75"/>
      <c r="AJ515" s="75"/>
      <c r="AK515" s="75"/>
      <c r="AL515" s="75"/>
      <c r="AM515" s="75"/>
      <c r="AN515" s="75"/>
      <c r="AO515" s="284">
        <f t="shared" si="27"/>
        <v>0</v>
      </c>
      <c r="AP515" s="562"/>
      <c r="AR515" s="409"/>
    </row>
    <row r="516" spans="2:44" s="83" customFormat="1">
      <c r="B516" s="82" t="s">
        <v>89</v>
      </c>
      <c r="C516" s="79"/>
      <c r="D516" s="80"/>
      <c r="E516" s="81"/>
      <c r="F516" s="81"/>
      <c r="G516" s="81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75"/>
      <c r="AD516" s="166"/>
      <c r="AE516" s="75"/>
      <c r="AF516" s="75"/>
      <c r="AG516" s="75"/>
      <c r="AH516" s="75"/>
      <c r="AI516" s="75"/>
      <c r="AJ516" s="75"/>
      <c r="AK516" s="75"/>
      <c r="AL516" s="75"/>
      <c r="AM516" s="75"/>
      <c r="AN516" s="75"/>
      <c r="AO516" s="484">
        <f t="shared" si="27"/>
        <v>0</v>
      </c>
      <c r="AP516" s="562"/>
      <c r="AR516" s="409"/>
    </row>
    <row r="517" spans="2:44" s="83" customFormat="1">
      <c r="B517" s="82" t="s">
        <v>89</v>
      </c>
      <c r="C517" s="79"/>
      <c r="D517" s="80"/>
      <c r="E517" s="81"/>
      <c r="F517" s="81"/>
      <c r="G517" s="81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75"/>
      <c r="AD517" s="75"/>
      <c r="AE517" s="75"/>
      <c r="AF517" s="75"/>
      <c r="AG517" s="75"/>
      <c r="AH517" s="75"/>
      <c r="AI517" s="75"/>
      <c r="AJ517" s="75"/>
      <c r="AK517" s="75"/>
      <c r="AL517" s="75"/>
      <c r="AM517" s="75"/>
      <c r="AN517" s="75"/>
      <c r="AO517" s="484">
        <f t="shared" si="27"/>
        <v>0</v>
      </c>
      <c r="AP517" s="562"/>
      <c r="AR517" s="409"/>
    </row>
    <row r="518" spans="2:44" s="83" customFormat="1">
      <c r="B518" s="82" t="s">
        <v>89</v>
      </c>
      <c r="C518" s="79"/>
      <c r="D518" s="80"/>
      <c r="E518" s="81"/>
      <c r="F518" s="81"/>
      <c r="G518" s="81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75"/>
      <c r="AD518" s="75"/>
      <c r="AE518" s="75"/>
      <c r="AF518" s="75"/>
      <c r="AG518" s="75"/>
      <c r="AH518" s="75"/>
      <c r="AI518" s="75"/>
      <c r="AJ518" s="75"/>
      <c r="AK518" s="75"/>
      <c r="AL518" s="75"/>
      <c r="AM518" s="75"/>
      <c r="AN518" s="75"/>
      <c r="AO518" s="484">
        <f t="shared" si="27"/>
        <v>0</v>
      </c>
      <c r="AP518" s="562"/>
      <c r="AR518" s="409"/>
    </row>
    <row r="519" spans="2:44" s="83" customFormat="1">
      <c r="B519" s="82" t="s">
        <v>89</v>
      </c>
      <c r="C519" s="79"/>
      <c r="D519" s="80"/>
      <c r="E519" s="81"/>
      <c r="F519" s="81"/>
      <c r="G519" s="81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75"/>
      <c r="AD519" s="75"/>
      <c r="AE519" s="75"/>
      <c r="AF519" s="75"/>
      <c r="AG519" s="75"/>
      <c r="AH519" s="75"/>
      <c r="AI519" s="75"/>
      <c r="AJ519" s="75"/>
      <c r="AK519" s="75"/>
      <c r="AL519" s="75"/>
      <c r="AM519" s="75"/>
      <c r="AN519" s="75"/>
      <c r="AO519" s="484">
        <f t="shared" si="27"/>
        <v>0</v>
      </c>
      <c r="AP519" s="562"/>
      <c r="AR519" s="409"/>
    </row>
    <row r="520" spans="2:44" s="83" customFormat="1">
      <c r="B520" s="82" t="s">
        <v>89</v>
      </c>
      <c r="C520" s="79"/>
      <c r="D520" s="80"/>
      <c r="E520" s="81"/>
      <c r="F520" s="81"/>
      <c r="G520" s="81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75"/>
      <c r="AD520" s="75"/>
      <c r="AE520" s="75"/>
      <c r="AF520" s="75"/>
      <c r="AG520" s="75"/>
      <c r="AH520" s="75"/>
      <c r="AI520" s="75"/>
      <c r="AJ520" s="75"/>
      <c r="AK520" s="75"/>
      <c r="AL520" s="75"/>
      <c r="AM520" s="75"/>
      <c r="AN520" s="75"/>
      <c r="AO520" s="484">
        <f t="shared" si="27"/>
        <v>0</v>
      </c>
      <c r="AP520" s="562"/>
      <c r="AR520" s="409"/>
    </row>
    <row r="521" spans="2:44" s="83" customFormat="1">
      <c r="B521" s="82" t="s">
        <v>89</v>
      </c>
      <c r="C521" s="79"/>
      <c r="D521" s="80"/>
      <c r="E521" s="81"/>
      <c r="F521" s="81"/>
      <c r="G521" s="81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75"/>
      <c r="AD521" s="75"/>
      <c r="AE521" s="166"/>
      <c r="AF521" s="75"/>
      <c r="AG521" s="75"/>
      <c r="AH521" s="75"/>
      <c r="AI521" s="75"/>
      <c r="AJ521" s="75"/>
      <c r="AK521" s="75"/>
      <c r="AL521" s="75"/>
      <c r="AM521" s="75"/>
      <c r="AN521" s="75"/>
      <c r="AO521" s="484">
        <f t="shared" si="27"/>
        <v>0</v>
      </c>
      <c r="AP521" s="562"/>
      <c r="AR521" s="409"/>
    </row>
    <row r="522" spans="2:44" s="83" customFormat="1">
      <c r="B522" s="82" t="s">
        <v>89</v>
      </c>
      <c r="C522" s="79"/>
      <c r="D522" s="80"/>
      <c r="E522" s="81"/>
      <c r="F522" s="81"/>
      <c r="G522" s="81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75"/>
      <c r="AD522" s="75"/>
      <c r="AE522" s="75"/>
      <c r="AF522" s="75"/>
      <c r="AG522" s="75"/>
      <c r="AH522" s="75"/>
      <c r="AI522" s="75"/>
      <c r="AJ522" s="75"/>
      <c r="AK522" s="75"/>
      <c r="AL522" s="75"/>
      <c r="AM522" s="75"/>
      <c r="AN522" s="75"/>
      <c r="AO522" s="484">
        <f t="shared" si="27"/>
        <v>0</v>
      </c>
      <c r="AP522" s="562"/>
      <c r="AR522" s="409"/>
    </row>
    <row r="523" spans="2:44" s="83" customFormat="1">
      <c r="B523" s="82" t="s">
        <v>89</v>
      </c>
      <c r="C523" s="79"/>
      <c r="D523" s="80"/>
      <c r="E523" s="81"/>
      <c r="F523" s="81"/>
      <c r="G523" s="81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75"/>
      <c r="AD523" s="75"/>
      <c r="AE523" s="75"/>
      <c r="AF523" s="75"/>
      <c r="AG523" s="166"/>
      <c r="AH523" s="75"/>
      <c r="AI523" s="75"/>
      <c r="AJ523" s="75"/>
      <c r="AK523" s="75"/>
      <c r="AL523" s="75"/>
      <c r="AM523" s="75"/>
      <c r="AN523" s="75"/>
      <c r="AO523" s="484">
        <f t="shared" si="27"/>
        <v>0</v>
      </c>
      <c r="AP523" s="562"/>
      <c r="AR523" s="409"/>
    </row>
    <row r="524" spans="2:44" s="83" customFormat="1">
      <c r="B524" s="82" t="s">
        <v>89</v>
      </c>
      <c r="C524" s="79"/>
      <c r="D524" s="80"/>
      <c r="E524" s="81"/>
      <c r="F524" s="81"/>
      <c r="G524" s="81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75"/>
      <c r="AD524" s="75"/>
      <c r="AE524" s="75"/>
      <c r="AF524" s="75"/>
      <c r="AG524" s="75"/>
      <c r="AH524" s="75"/>
      <c r="AI524" s="75"/>
      <c r="AJ524" s="75"/>
      <c r="AK524" s="75"/>
      <c r="AL524" s="75"/>
      <c r="AM524" s="75"/>
      <c r="AN524" s="75"/>
      <c r="AO524" s="484">
        <f t="shared" si="27"/>
        <v>0</v>
      </c>
      <c r="AP524" s="562"/>
      <c r="AR524" s="409"/>
    </row>
    <row r="525" spans="2:44" s="83" customFormat="1">
      <c r="B525" s="82" t="s">
        <v>89</v>
      </c>
      <c r="C525" s="79"/>
      <c r="D525" s="80"/>
      <c r="E525" s="81"/>
      <c r="F525" s="81"/>
      <c r="G525" s="81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75"/>
      <c r="AD525" s="75"/>
      <c r="AE525" s="75"/>
      <c r="AF525" s="75"/>
      <c r="AG525" s="75"/>
      <c r="AH525" s="75"/>
      <c r="AI525" s="75"/>
      <c r="AJ525" s="75"/>
      <c r="AK525" s="75"/>
      <c r="AL525" s="75"/>
      <c r="AM525" s="75"/>
      <c r="AN525" s="75"/>
      <c r="AO525" s="284">
        <f t="shared" ref="AO525:AO556" si="28">SUM(I525:AN525)</f>
        <v>0</v>
      </c>
      <c r="AP525" s="562"/>
      <c r="AR525" s="485"/>
    </row>
    <row r="526" spans="2:44" s="83" customFormat="1">
      <c r="B526" s="82" t="s">
        <v>89</v>
      </c>
      <c r="C526" s="79"/>
      <c r="D526" s="80"/>
      <c r="E526" s="81"/>
      <c r="F526" s="81"/>
      <c r="G526" s="81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75"/>
      <c r="AD526" s="75"/>
      <c r="AE526" s="75"/>
      <c r="AF526" s="75"/>
      <c r="AG526" s="75"/>
      <c r="AH526" s="75"/>
      <c r="AI526" s="75"/>
      <c r="AJ526" s="75"/>
      <c r="AK526" s="75"/>
      <c r="AL526" s="75"/>
      <c r="AM526" s="75"/>
      <c r="AN526" s="75"/>
      <c r="AO526" s="284">
        <f t="shared" si="28"/>
        <v>0</v>
      </c>
      <c r="AP526" s="562"/>
      <c r="AR526" s="485"/>
    </row>
    <row r="527" spans="2:44" s="83" customFormat="1">
      <c r="B527" s="82" t="s">
        <v>89</v>
      </c>
      <c r="C527" s="79"/>
      <c r="D527" s="80"/>
      <c r="E527" s="81"/>
      <c r="F527" s="81"/>
      <c r="G527" s="81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75"/>
      <c r="AD527" s="75"/>
      <c r="AE527" s="75"/>
      <c r="AF527" s="75"/>
      <c r="AG527" s="75"/>
      <c r="AH527" s="75"/>
      <c r="AI527" s="75"/>
      <c r="AJ527" s="75"/>
      <c r="AK527" s="75"/>
      <c r="AL527" s="75"/>
      <c r="AM527" s="108"/>
      <c r="AN527" s="75"/>
      <c r="AO527" s="284">
        <f t="shared" si="28"/>
        <v>0</v>
      </c>
      <c r="AP527" s="562"/>
      <c r="AR527" s="485"/>
    </row>
    <row r="528" spans="2:44" s="83" customFormat="1">
      <c r="B528" s="82" t="s">
        <v>89</v>
      </c>
      <c r="C528" s="79"/>
      <c r="D528" s="80"/>
      <c r="E528" s="81"/>
      <c r="F528" s="81"/>
      <c r="G528" s="81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75"/>
      <c r="AD528" s="75"/>
      <c r="AE528" s="75"/>
      <c r="AF528" s="75"/>
      <c r="AG528" s="75"/>
      <c r="AH528" s="75"/>
      <c r="AI528" s="75"/>
      <c r="AJ528" s="75"/>
      <c r="AK528" s="75"/>
      <c r="AL528" s="75"/>
      <c r="AM528" s="75"/>
      <c r="AN528" s="75"/>
      <c r="AO528" s="284">
        <f t="shared" si="28"/>
        <v>0</v>
      </c>
      <c r="AP528" s="562"/>
      <c r="AR528" s="485"/>
    </row>
    <row r="529" spans="2:44" s="83" customFormat="1">
      <c r="B529" s="82" t="s">
        <v>89</v>
      </c>
      <c r="C529" s="79"/>
      <c r="D529" s="80"/>
      <c r="E529" s="81"/>
      <c r="F529" s="81"/>
      <c r="G529" s="81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75"/>
      <c r="AD529" s="75"/>
      <c r="AE529" s="75"/>
      <c r="AF529" s="75"/>
      <c r="AG529" s="75"/>
      <c r="AH529" s="75"/>
      <c r="AI529" s="75"/>
      <c r="AJ529" s="75"/>
      <c r="AK529" s="75"/>
      <c r="AL529" s="75"/>
      <c r="AM529" s="75"/>
      <c r="AN529" s="75"/>
      <c r="AO529" s="284">
        <f t="shared" si="28"/>
        <v>0</v>
      </c>
      <c r="AP529" s="562"/>
      <c r="AR529" s="485"/>
    </row>
    <row r="530" spans="2:44" s="83" customFormat="1">
      <c r="B530" s="82" t="s">
        <v>89</v>
      </c>
      <c r="C530" s="79"/>
      <c r="D530" s="80"/>
      <c r="E530" s="81"/>
      <c r="F530" s="81"/>
      <c r="G530" s="81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75"/>
      <c r="AD530" s="75"/>
      <c r="AE530" s="75"/>
      <c r="AF530" s="75"/>
      <c r="AG530" s="75"/>
      <c r="AH530" s="75"/>
      <c r="AI530" s="75"/>
      <c r="AJ530" s="75"/>
      <c r="AK530" s="75"/>
      <c r="AL530" s="75"/>
      <c r="AM530" s="75"/>
      <c r="AN530" s="75"/>
      <c r="AO530" s="284">
        <f t="shared" si="28"/>
        <v>0</v>
      </c>
      <c r="AP530" s="562"/>
      <c r="AR530" s="485"/>
    </row>
    <row r="531" spans="2:44" s="83" customFormat="1">
      <c r="B531" s="82" t="s">
        <v>89</v>
      </c>
      <c r="C531" s="79"/>
      <c r="D531" s="80"/>
      <c r="E531" s="81"/>
      <c r="F531" s="81"/>
      <c r="G531" s="81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75"/>
      <c r="AD531" s="75"/>
      <c r="AE531" s="75"/>
      <c r="AF531" s="75"/>
      <c r="AG531" s="75"/>
      <c r="AH531" s="75"/>
      <c r="AI531" s="75"/>
      <c r="AJ531" s="75"/>
      <c r="AK531" s="75"/>
      <c r="AL531" s="75"/>
      <c r="AM531" s="75"/>
      <c r="AN531" s="75"/>
      <c r="AO531" s="284">
        <f t="shared" si="28"/>
        <v>0</v>
      </c>
      <c r="AP531" s="562"/>
      <c r="AR531" s="485"/>
    </row>
    <row r="532" spans="2:44" s="83" customFormat="1">
      <c r="B532" s="82" t="s">
        <v>89</v>
      </c>
      <c r="C532" s="79"/>
      <c r="D532" s="80"/>
      <c r="E532" s="81"/>
      <c r="F532" s="81"/>
      <c r="G532" s="81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75"/>
      <c r="AD532" s="166"/>
      <c r="AE532" s="75"/>
      <c r="AF532" s="75"/>
      <c r="AG532" s="75"/>
      <c r="AH532" s="75"/>
      <c r="AI532" s="75"/>
      <c r="AJ532" s="75"/>
      <c r="AK532" s="75"/>
      <c r="AL532" s="75"/>
      <c r="AM532" s="75"/>
      <c r="AN532" s="75"/>
      <c r="AO532" s="284">
        <f t="shared" si="28"/>
        <v>0</v>
      </c>
      <c r="AP532" s="562"/>
      <c r="AR532" s="485"/>
    </row>
    <row r="533" spans="2:44" s="83" customFormat="1">
      <c r="B533" s="82" t="s">
        <v>89</v>
      </c>
      <c r="C533" s="79"/>
      <c r="D533" s="80"/>
      <c r="E533" s="81"/>
      <c r="F533" s="81"/>
      <c r="G533" s="81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75"/>
      <c r="AD533" s="75"/>
      <c r="AE533" s="75"/>
      <c r="AF533" s="75"/>
      <c r="AG533" s="75"/>
      <c r="AH533" s="75"/>
      <c r="AI533" s="75"/>
      <c r="AJ533" s="75"/>
      <c r="AK533" s="75"/>
      <c r="AL533" s="75"/>
      <c r="AM533" s="75"/>
      <c r="AN533" s="75"/>
      <c r="AO533" s="284">
        <f t="shared" si="28"/>
        <v>0</v>
      </c>
      <c r="AP533" s="562"/>
      <c r="AR533" s="485"/>
    </row>
    <row r="534" spans="2:44" s="83" customFormat="1">
      <c r="B534" s="82" t="s">
        <v>89</v>
      </c>
      <c r="C534" s="79"/>
      <c r="D534" s="80"/>
      <c r="E534" s="81"/>
      <c r="F534" s="81"/>
      <c r="G534" s="81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75"/>
      <c r="AD534" s="75"/>
      <c r="AE534" s="75"/>
      <c r="AF534" s="75"/>
      <c r="AG534" s="75"/>
      <c r="AH534" s="75"/>
      <c r="AI534" s="75"/>
      <c r="AJ534" s="75"/>
      <c r="AK534" s="75"/>
      <c r="AL534" s="75"/>
      <c r="AM534" s="75"/>
      <c r="AN534" s="75"/>
      <c r="AO534" s="284">
        <f t="shared" si="28"/>
        <v>0</v>
      </c>
      <c r="AP534" s="562"/>
      <c r="AR534" s="485"/>
    </row>
    <row r="535" spans="2:44" s="83" customFormat="1">
      <c r="B535" s="82" t="s">
        <v>89</v>
      </c>
      <c r="C535" s="79"/>
      <c r="D535" s="80"/>
      <c r="E535" s="81"/>
      <c r="F535" s="81"/>
      <c r="G535" s="81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75"/>
      <c r="AD535" s="75"/>
      <c r="AE535" s="75"/>
      <c r="AF535" s="75"/>
      <c r="AG535" s="75"/>
      <c r="AH535" s="75"/>
      <c r="AI535" s="75"/>
      <c r="AJ535" s="75"/>
      <c r="AK535" s="75"/>
      <c r="AL535" s="75"/>
      <c r="AM535" s="75"/>
      <c r="AN535" s="75"/>
      <c r="AO535" s="284">
        <f t="shared" si="28"/>
        <v>0</v>
      </c>
      <c r="AP535" s="562"/>
      <c r="AR535" s="485"/>
    </row>
    <row r="536" spans="2:44" s="83" customFormat="1">
      <c r="B536" s="82" t="s">
        <v>89</v>
      </c>
      <c r="C536" s="79"/>
      <c r="D536" s="80"/>
      <c r="E536" s="81"/>
      <c r="F536" s="81"/>
      <c r="G536" s="81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75"/>
      <c r="AD536" s="75"/>
      <c r="AE536" s="75"/>
      <c r="AF536" s="75"/>
      <c r="AG536" s="75"/>
      <c r="AH536" s="75"/>
      <c r="AI536" s="75"/>
      <c r="AJ536" s="75"/>
      <c r="AK536" s="75"/>
      <c r="AL536" s="75"/>
      <c r="AM536" s="75"/>
      <c r="AN536" s="75"/>
      <c r="AO536" s="284">
        <f t="shared" si="28"/>
        <v>0</v>
      </c>
      <c r="AP536" s="562"/>
      <c r="AR536" s="485"/>
    </row>
    <row r="537" spans="2:44" s="83" customFormat="1">
      <c r="B537" s="82" t="s">
        <v>89</v>
      </c>
      <c r="C537" s="79"/>
      <c r="D537" s="80"/>
      <c r="E537" s="81"/>
      <c r="F537" s="81"/>
      <c r="G537" s="81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75"/>
      <c r="AD537" s="75"/>
      <c r="AE537" s="166"/>
      <c r="AF537" s="75"/>
      <c r="AG537" s="75"/>
      <c r="AH537" s="75"/>
      <c r="AI537" s="75"/>
      <c r="AJ537" s="75"/>
      <c r="AK537" s="75"/>
      <c r="AL537" s="75"/>
      <c r="AM537" s="75"/>
      <c r="AN537" s="75"/>
      <c r="AO537" s="284">
        <f t="shared" si="28"/>
        <v>0</v>
      </c>
      <c r="AP537" s="562"/>
      <c r="AR537" s="485"/>
    </row>
    <row r="538" spans="2:44" s="83" customFormat="1">
      <c r="B538" s="82" t="s">
        <v>89</v>
      </c>
      <c r="C538" s="79"/>
      <c r="D538" s="80"/>
      <c r="E538" s="81"/>
      <c r="F538" s="81"/>
      <c r="G538" s="81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75"/>
      <c r="AD538" s="75"/>
      <c r="AE538" s="75"/>
      <c r="AF538" s="75"/>
      <c r="AG538" s="75"/>
      <c r="AH538" s="75"/>
      <c r="AI538" s="75"/>
      <c r="AJ538" s="75"/>
      <c r="AK538" s="75"/>
      <c r="AL538" s="75"/>
      <c r="AM538" s="75"/>
      <c r="AN538" s="75"/>
      <c r="AO538" s="284">
        <f t="shared" si="28"/>
        <v>0</v>
      </c>
      <c r="AP538" s="562"/>
      <c r="AR538" s="485"/>
    </row>
    <row r="539" spans="2:44" s="83" customFormat="1">
      <c r="B539" s="82" t="s">
        <v>89</v>
      </c>
      <c r="C539" s="79"/>
      <c r="D539" s="80"/>
      <c r="E539" s="81"/>
      <c r="F539" s="81"/>
      <c r="G539" s="81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75"/>
      <c r="AD539" s="75"/>
      <c r="AE539" s="75"/>
      <c r="AF539" s="75"/>
      <c r="AG539" s="166"/>
      <c r="AH539" s="75"/>
      <c r="AI539" s="75"/>
      <c r="AJ539" s="75"/>
      <c r="AK539" s="75"/>
      <c r="AL539" s="75"/>
      <c r="AM539" s="75"/>
      <c r="AN539" s="75"/>
      <c r="AO539" s="284">
        <f t="shared" si="28"/>
        <v>0</v>
      </c>
      <c r="AP539" s="562"/>
      <c r="AR539" s="485"/>
    </row>
    <row r="540" spans="2:44" s="83" customFormat="1">
      <c r="B540" s="82" t="s">
        <v>89</v>
      </c>
      <c r="C540" s="79"/>
      <c r="D540" s="80"/>
      <c r="E540" s="81"/>
      <c r="F540" s="81"/>
      <c r="G540" s="81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75"/>
      <c r="AD540" s="75"/>
      <c r="AE540" s="75"/>
      <c r="AF540" s="75"/>
      <c r="AG540" s="75"/>
      <c r="AH540" s="75"/>
      <c r="AI540" s="75"/>
      <c r="AJ540" s="75"/>
      <c r="AK540" s="75"/>
      <c r="AL540" s="75"/>
      <c r="AM540" s="75"/>
      <c r="AN540" s="75"/>
      <c r="AO540" s="284">
        <f t="shared" si="28"/>
        <v>0</v>
      </c>
      <c r="AP540" s="562"/>
      <c r="AR540" s="485"/>
    </row>
    <row r="541" spans="2:44" s="83" customFormat="1">
      <c r="B541" s="82" t="s">
        <v>89</v>
      </c>
      <c r="C541" s="79"/>
      <c r="D541" s="80"/>
      <c r="E541" s="81"/>
      <c r="F541" s="81"/>
      <c r="G541" s="81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75"/>
      <c r="AD541" s="75"/>
      <c r="AE541" s="75"/>
      <c r="AF541" s="75"/>
      <c r="AG541" s="75"/>
      <c r="AH541" s="75"/>
      <c r="AI541" s="75"/>
      <c r="AJ541" s="75"/>
      <c r="AK541" s="75"/>
      <c r="AL541" s="75"/>
      <c r="AM541" s="75"/>
      <c r="AN541" s="75"/>
      <c r="AO541" s="284">
        <f>SUM(I541:AN541)</f>
        <v>0</v>
      </c>
      <c r="AP541" s="562"/>
      <c r="AR541" s="485"/>
    </row>
    <row r="542" spans="2:44" s="83" customFormat="1" ht="16.5" thickBot="1">
      <c r="B542" s="82" t="s">
        <v>89</v>
      </c>
      <c r="C542" s="79"/>
      <c r="D542" s="80"/>
      <c r="E542" s="81"/>
      <c r="F542" s="81"/>
      <c r="G542" s="81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75"/>
      <c r="AD542" s="75"/>
      <c r="AE542" s="75"/>
      <c r="AF542" s="75"/>
      <c r="AG542" s="75"/>
      <c r="AH542" s="75"/>
      <c r="AI542" s="75"/>
      <c r="AJ542" s="75"/>
      <c r="AK542" s="75"/>
      <c r="AL542" s="75"/>
      <c r="AM542" s="75"/>
      <c r="AN542" s="75"/>
      <c r="AO542" s="284">
        <f>SUM(I542:AN542)</f>
        <v>0</v>
      </c>
      <c r="AP542" s="563"/>
      <c r="AR542" s="485"/>
    </row>
    <row r="543" spans="2:44" s="83" customFormat="1" ht="15">
      <c r="B543" s="82" t="s">
        <v>89</v>
      </c>
      <c r="C543" s="79"/>
      <c r="D543" s="80"/>
      <c r="E543" s="81"/>
      <c r="F543" s="81"/>
      <c r="G543" s="81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75"/>
      <c r="AD543" s="75"/>
      <c r="AE543" s="75"/>
      <c r="AF543" s="75"/>
      <c r="AG543" s="75"/>
      <c r="AH543" s="75"/>
      <c r="AI543" s="75"/>
      <c r="AJ543" s="75"/>
      <c r="AK543" s="75"/>
      <c r="AL543" s="75"/>
      <c r="AM543" s="75"/>
      <c r="AN543" s="75"/>
      <c r="AO543" s="284">
        <f t="shared" si="28"/>
        <v>0</v>
      </c>
      <c r="AP543" s="191">
        <f>SUM(AO543:AO585)</f>
        <v>0</v>
      </c>
    </row>
    <row r="544" spans="2:44" s="83" customFormat="1" ht="15">
      <c r="B544" s="82" t="s">
        <v>89</v>
      </c>
      <c r="C544" s="79"/>
      <c r="D544" s="80"/>
      <c r="E544" s="81"/>
      <c r="F544" s="81"/>
      <c r="G544" s="81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75"/>
      <c r="AD544" s="75"/>
      <c r="AE544" s="75"/>
      <c r="AF544" s="75"/>
      <c r="AG544" s="75"/>
      <c r="AH544" s="75"/>
      <c r="AI544" s="75"/>
      <c r="AJ544" s="75"/>
      <c r="AK544" s="75"/>
      <c r="AL544" s="75"/>
      <c r="AM544" s="75"/>
      <c r="AN544" s="75"/>
      <c r="AO544" s="284">
        <f t="shared" si="28"/>
        <v>0</v>
      </c>
      <c r="AP544" s="191"/>
    </row>
    <row r="545" spans="2:42" s="83" customFormat="1" ht="15">
      <c r="B545" s="82" t="s">
        <v>89</v>
      </c>
      <c r="C545" s="79"/>
      <c r="D545" s="80"/>
      <c r="E545" s="81"/>
      <c r="F545" s="81"/>
      <c r="G545" s="81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75"/>
      <c r="AD545" s="75"/>
      <c r="AE545" s="75"/>
      <c r="AF545" s="75"/>
      <c r="AG545" s="75"/>
      <c r="AH545" s="75"/>
      <c r="AI545" s="75"/>
      <c r="AJ545" s="75"/>
      <c r="AK545" s="75"/>
      <c r="AL545" s="75"/>
      <c r="AM545" s="75"/>
      <c r="AN545" s="75"/>
      <c r="AO545" s="284">
        <f t="shared" si="28"/>
        <v>0</v>
      </c>
      <c r="AP545" s="191"/>
    </row>
    <row r="546" spans="2:42" s="83" customFormat="1" ht="15">
      <c r="B546" s="82" t="s">
        <v>89</v>
      </c>
      <c r="C546" s="79"/>
      <c r="D546" s="80"/>
      <c r="E546" s="81"/>
      <c r="F546" s="81"/>
      <c r="G546" s="81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75"/>
      <c r="AD546" s="75"/>
      <c r="AE546" s="75"/>
      <c r="AF546" s="75"/>
      <c r="AG546" s="75"/>
      <c r="AH546" s="75"/>
      <c r="AI546" s="75"/>
      <c r="AJ546" s="75"/>
      <c r="AK546" s="75"/>
      <c r="AL546" s="75"/>
      <c r="AM546" s="75"/>
      <c r="AN546" s="75"/>
      <c r="AO546" s="284">
        <f t="shared" si="28"/>
        <v>0</v>
      </c>
      <c r="AP546" s="191"/>
    </row>
    <row r="547" spans="2:42" s="83" customFormat="1">
      <c r="B547" s="82" t="s">
        <v>89</v>
      </c>
      <c r="C547" s="79"/>
      <c r="D547" s="80"/>
      <c r="E547" s="81"/>
      <c r="F547" s="81"/>
      <c r="G547" s="81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75"/>
      <c r="AD547" s="75"/>
      <c r="AE547" s="75"/>
      <c r="AF547" s="75"/>
      <c r="AG547" s="75"/>
      <c r="AH547" s="166"/>
      <c r="AI547" s="75"/>
      <c r="AJ547" s="75"/>
      <c r="AK547" s="75"/>
      <c r="AL547" s="75"/>
      <c r="AM547" s="75"/>
      <c r="AN547" s="75"/>
      <c r="AO547" s="284">
        <f t="shared" si="28"/>
        <v>0</v>
      </c>
      <c r="AP547" s="191"/>
    </row>
    <row r="548" spans="2:42" s="83" customFormat="1">
      <c r="B548" s="82" t="s">
        <v>89</v>
      </c>
      <c r="C548" s="79"/>
      <c r="D548" s="80"/>
      <c r="E548" s="81"/>
      <c r="F548" s="81"/>
      <c r="G548" s="81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75"/>
      <c r="AD548" s="75"/>
      <c r="AE548" s="75"/>
      <c r="AF548" s="75"/>
      <c r="AG548" s="75"/>
      <c r="AH548" s="166"/>
      <c r="AI548" s="75"/>
      <c r="AJ548" s="75"/>
      <c r="AK548" s="75"/>
      <c r="AL548" s="75"/>
      <c r="AM548" s="75"/>
      <c r="AN548" s="75"/>
      <c r="AO548" s="284">
        <f t="shared" si="28"/>
        <v>0</v>
      </c>
      <c r="AP548" s="191"/>
    </row>
    <row r="549" spans="2:42" s="83" customFormat="1">
      <c r="B549" s="82" t="s">
        <v>89</v>
      </c>
      <c r="C549" s="79"/>
      <c r="D549" s="80"/>
      <c r="E549" s="81"/>
      <c r="F549" s="81"/>
      <c r="G549" s="81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75"/>
      <c r="AD549" s="75"/>
      <c r="AE549" s="75"/>
      <c r="AF549" s="75"/>
      <c r="AG549" s="166"/>
      <c r="AH549" s="75"/>
      <c r="AI549" s="75"/>
      <c r="AJ549" s="75"/>
      <c r="AK549" s="75"/>
      <c r="AL549" s="75"/>
      <c r="AM549" s="75"/>
      <c r="AN549" s="75"/>
      <c r="AO549" s="284">
        <f t="shared" si="28"/>
        <v>0</v>
      </c>
      <c r="AP549" s="191"/>
    </row>
    <row r="550" spans="2:42" s="83" customFormat="1">
      <c r="B550" s="82" t="s">
        <v>89</v>
      </c>
      <c r="C550" s="79"/>
      <c r="D550" s="80"/>
      <c r="E550" s="81"/>
      <c r="F550" s="81"/>
      <c r="G550" s="81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75"/>
      <c r="AD550" s="75"/>
      <c r="AE550" s="75"/>
      <c r="AF550" s="75"/>
      <c r="AG550" s="166"/>
      <c r="AH550" s="75"/>
      <c r="AI550" s="75"/>
      <c r="AJ550" s="75"/>
      <c r="AK550" s="75"/>
      <c r="AL550" s="75"/>
      <c r="AM550" s="75"/>
      <c r="AN550" s="75"/>
      <c r="AO550" s="284">
        <f t="shared" si="28"/>
        <v>0</v>
      </c>
      <c r="AP550" s="191"/>
    </row>
    <row r="551" spans="2:42" s="83" customFormat="1" ht="15">
      <c r="B551" s="82" t="s">
        <v>89</v>
      </c>
      <c r="C551" s="79"/>
      <c r="D551" s="80"/>
      <c r="E551" s="81"/>
      <c r="F551" s="81"/>
      <c r="G551" s="81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75"/>
      <c r="AD551" s="75"/>
      <c r="AE551" s="75"/>
      <c r="AF551" s="75"/>
      <c r="AG551" s="75"/>
      <c r="AH551" s="75"/>
      <c r="AI551" s="75"/>
      <c r="AJ551" s="75"/>
      <c r="AK551" s="75"/>
      <c r="AL551" s="75"/>
      <c r="AM551" s="75"/>
      <c r="AN551" s="75"/>
      <c r="AO551" s="284">
        <f t="shared" si="28"/>
        <v>0</v>
      </c>
      <c r="AP551" s="191"/>
    </row>
    <row r="552" spans="2:42" s="83" customFormat="1" ht="15">
      <c r="B552" s="82" t="s">
        <v>89</v>
      </c>
      <c r="C552" s="79"/>
      <c r="D552" s="80"/>
      <c r="E552" s="81"/>
      <c r="F552" s="81"/>
      <c r="G552" s="81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75"/>
      <c r="AD552" s="75"/>
      <c r="AE552" s="75"/>
      <c r="AF552" s="75"/>
      <c r="AG552" s="75"/>
      <c r="AH552" s="75"/>
      <c r="AI552" s="75"/>
      <c r="AJ552" s="75"/>
      <c r="AK552" s="75"/>
      <c r="AL552" s="75"/>
      <c r="AM552" s="75"/>
      <c r="AN552" s="75"/>
      <c r="AO552" s="284">
        <f t="shared" si="28"/>
        <v>0</v>
      </c>
      <c r="AP552" s="191"/>
    </row>
    <row r="553" spans="2:42" s="83" customFormat="1">
      <c r="B553" s="82" t="s">
        <v>89</v>
      </c>
      <c r="C553" s="79"/>
      <c r="D553" s="80"/>
      <c r="E553" s="81"/>
      <c r="F553" s="81"/>
      <c r="G553" s="81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75"/>
      <c r="AD553" s="75"/>
      <c r="AE553" s="75"/>
      <c r="AF553" s="75"/>
      <c r="AG553" s="166"/>
      <c r="AH553" s="75"/>
      <c r="AI553" s="75"/>
      <c r="AJ553" s="75"/>
      <c r="AK553" s="75"/>
      <c r="AL553" s="75"/>
      <c r="AM553" s="75"/>
      <c r="AN553" s="75"/>
      <c r="AO553" s="284">
        <f t="shared" si="28"/>
        <v>0</v>
      </c>
      <c r="AP553" s="191"/>
    </row>
    <row r="554" spans="2:42" s="83" customFormat="1">
      <c r="B554" s="82" t="s">
        <v>89</v>
      </c>
      <c r="C554" s="79"/>
      <c r="D554" s="80"/>
      <c r="E554" s="81"/>
      <c r="F554" s="81"/>
      <c r="G554" s="81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75"/>
      <c r="AD554" s="75"/>
      <c r="AE554" s="75"/>
      <c r="AF554" s="75"/>
      <c r="AG554" s="166"/>
      <c r="AH554" s="75"/>
      <c r="AI554" s="75"/>
      <c r="AJ554" s="75"/>
      <c r="AK554" s="75"/>
      <c r="AL554" s="75"/>
      <c r="AM554" s="75"/>
      <c r="AN554" s="75"/>
      <c r="AO554" s="284">
        <f t="shared" si="28"/>
        <v>0</v>
      </c>
      <c r="AP554" s="191"/>
    </row>
    <row r="555" spans="2:42" s="83" customFormat="1" ht="15">
      <c r="B555" s="82" t="s">
        <v>89</v>
      </c>
      <c r="C555" s="79"/>
      <c r="D555" s="80"/>
      <c r="E555" s="81"/>
      <c r="F555" s="81"/>
      <c r="G555" s="81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75"/>
      <c r="AD555" s="75"/>
      <c r="AE555" s="75"/>
      <c r="AF555" s="75"/>
      <c r="AG555" s="75"/>
      <c r="AH555" s="75"/>
      <c r="AI555" s="75"/>
      <c r="AJ555" s="75"/>
      <c r="AK555" s="75"/>
      <c r="AL555" s="75"/>
      <c r="AM555" s="75"/>
      <c r="AN555" s="75"/>
      <c r="AO555" s="284">
        <f t="shared" si="28"/>
        <v>0</v>
      </c>
      <c r="AP555" s="191"/>
    </row>
    <row r="556" spans="2:42" s="83" customFormat="1">
      <c r="B556" s="82" t="s">
        <v>89</v>
      </c>
      <c r="C556" s="79"/>
      <c r="D556" s="80"/>
      <c r="E556" s="81"/>
      <c r="F556" s="81"/>
      <c r="G556" s="81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75"/>
      <c r="AD556" s="75"/>
      <c r="AE556" s="166"/>
      <c r="AF556" s="75"/>
      <c r="AG556" s="75"/>
      <c r="AH556" s="75"/>
      <c r="AI556" s="75"/>
      <c r="AJ556" s="75"/>
      <c r="AK556" s="75"/>
      <c r="AL556" s="75"/>
      <c r="AM556" s="75"/>
      <c r="AN556" s="75"/>
      <c r="AO556" s="284">
        <f t="shared" si="28"/>
        <v>0</v>
      </c>
      <c r="AP556" s="191"/>
    </row>
    <row r="557" spans="2:42" s="83" customFormat="1">
      <c r="B557" s="82" t="s">
        <v>89</v>
      </c>
      <c r="C557" s="79"/>
      <c r="D557" s="80"/>
      <c r="E557" s="81"/>
      <c r="F557" s="81"/>
      <c r="G557" s="81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75"/>
      <c r="AD557" s="75"/>
      <c r="AE557" s="166"/>
      <c r="AF557" s="75"/>
      <c r="AG557" s="75"/>
      <c r="AH557" s="75"/>
      <c r="AI557" s="75"/>
      <c r="AJ557" s="75"/>
      <c r="AK557" s="75"/>
      <c r="AL557" s="75"/>
      <c r="AM557" s="75"/>
      <c r="AN557" s="75"/>
      <c r="AO557" s="284">
        <f t="shared" ref="AO557:AO604" si="29">SUM(I557:AN557)</f>
        <v>0</v>
      </c>
      <c r="AP557" s="191"/>
    </row>
    <row r="558" spans="2:42" s="83" customFormat="1">
      <c r="B558" s="82" t="s">
        <v>89</v>
      </c>
      <c r="C558" s="79"/>
      <c r="D558" s="80"/>
      <c r="E558" s="81"/>
      <c r="F558" s="81"/>
      <c r="G558" s="81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75"/>
      <c r="AD558" s="75"/>
      <c r="AE558" s="166"/>
      <c r="AF558" s="75"/>
      <c r="AG558" s="75"/>
      <c r="AH558" s="75"/>
      <c r="AI558" s="75"/>
      <c r="AJ558" s="75"/>
      <c r="AK558" s="75"/>
      <c r="AL558" s="75"/>
      <c r="AM558" s="75"/>
      <c r="AN558" s="75"/>
      <c r="AO558" s="284">
        <f t="shared" si="29"/>
        <v>0</v>
      </c>
      <c r="AP558" s="191"/>
    </row>
    <row r="559" spans="2:42" s="83" customFormat="1">
      <c r="B559" s="82" t="s">
        <v>89</v>
      </c>
      <c r="C559" s="79"/>
      <c r="D559" s="80"/>
      <c r="E559" s="81"/>
      <c r="F559" s="81"/>
      <c r="G559" s="81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75"/>
      <c r="AD559" s="75"/>
      <c r="AE559" s="166"/>
      <c r="AF559" s="75"/>
      <c r="AG559" s="75"/>
      <c r="AH559" s="75"/>
      <c r="AI559" s="75"/>
      <c r="AJ559" s="75"/>
      <c r="AK559" s="75"/>
      <c r="AL559" s="75"/>
      <c r="AM559" s="75"/>
      <c r="AN559" s="75"/>
      <c r="AO559" s="284">
        <f t="shared" si="29"/>
        <v>0</v>
      </c>
      <c r="AP559" s="191"/>
    </row>
    <row r="560" spans="2:42" s="83" customFormat="1">
      <c r="B560" s="82" t="s">
        <v>89</v>
      </c>
      <c r="C560" s="79"/>
      <c r="D560" s="80"/>
      <c r="E560" s="81"/>
      <c r="F560" s="81"/>
      <c r="G560" s="81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75"/>
      <c r="AD560" s="75"/>
      <c r="AE560" s="166"/>
      <c r="AF560" s="75"/>
      <c r="AG560" s="166"/>
      <c r="AH560" s="75"/>
      <c r="AI560" s="75"/>
      <c r="AJ560" s="75"/>
      <c r="AK560" s="75"/>
      <c r="AL560" s="75"/>
      <c r="AM560" s="75"/>
      <c r="AN560" s="75"/>
      <c r="AO560" s="284">
        <f t="shared" si="29"/>
        <v>0</v>
      </c>
      <c r="AP560" s="191"/>
    </row>
    <row r="561" spans="2:42" s="83" customFormat="1">
      <c r="B561" s="82" t="s">
        <v>89</v>
      </c>
      <c r="C561" s="79"/>
      <c r="D561" s="80"/>
      <c r="E561" s="81"/>
      <c r="F561" s="81"/>
      <c r="G561" s="81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75"/>
      <c r="AD561" s="75"/>
      <c r="AE561" s="166"/>
      <c r="AF561" s="75"/>
      <c r="AG561" s="75"/>
      <c r="AH561" s="75"/>
      <c r="AI561" s="75"/>
      <c r="AJ561" s="75"/>
      <c r="AK561" s="75"/>
      <c r="AL561" s="75"/>
      <c r="AM561" s="75"/>
      <c r="AN561" s="75"/>
      <c r="AO561" s="284">
        <f t="shared" si="29"/>
        <v>0</v>
      </c>
      <c r="AP561" s="191"/>
    </row>
    <row r="562" spans="2:42" s="83" customFormat="1">
      <c r="B562" s="82" t="s">
        <v>89</v>
      </c>
      <c r="C562" s="79"/>
      <c r="D562" s="80"/>
      <c r="E562" s="81"/>
      <c r="F562" s="81"/>
      <c r="G562" s="81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75"/>
      <c r="AD562" s="75"/>
      <c r="AE562" s="166"/>
      <c r="AF562" s="75"/>
      <c r="AG562" s="75"/>
      <c r="AH562" s="75"/>
      <c r="AI562" s="75"/>
      <c r="AJ562" s="75"/>
      <c r="AK562" s="75"/>
      <c r="AL562" s="75"/>
      <c r="AM562" s="75"/>
      <c r="AN562" s="75"/>
      <c r="AO562" s="284">
        <f t="shared" si="29"/>
        <v>0</v>
      </c>
      <c r="AP562" s="191"/>
    </row>
    <row r="563" spans="2:42" s="83" customFormat="1">
      <c r="B563" s="82" t="s">
        <v>89</v>
      </c>
      <c r="C563" s="79"/>
      <c r="D563" s="80"/>
      <c r="E563" s="81"/>
      <c r="F563" s="81"/>
      <c r="G563" s="81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75"/>
      <c r="AD563" s="75"/>
      <c r="AE563" s="166"/>
      <c r="AF563" s="75"/>
      <c r="AG563" s="166"/>
      <c r="AH563" s="75"/>
      <c r="AI563" s="75"/>
      <c r="AJ563" s="75"/>
      <c r="AK563" s="75"/>
      <c r="AL563" s="75"/>
      <c r="AM563" s="75"/>
      <c r="AN563" s="75"/>
      <c r="AO563" s="284">
        <f t="shared" si="29"/>
        <v>0</v>
      </c>
      <c r="AP563" s="191"/>
    </row>
    <row r="564" spans="2:42" s="83" customFormat="1">
      <c r="B564" s="79" t="s">
        <v>89</v>
      </c>
      <c r="C564" s="79"/>
      <c r="D564" s="80"/>
      <c r="E564" s="81"/>
      <c r="F564" s="81"/>
      <c r="G564" s="81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75"/>
      <c r="AD564" s="75"/>
      <c r="AE564" s="166"/>
      <c r="AF564" s="75"/>
      <c r="AG564" s="75"/>
      <c r="AH564" s="75"/>
      <c r="AI564" s="75"/>
      <c r="AJ564" s="75"/>
      <c r="AK564" s="75"/>
      <c r="AL564" s="75"/>
      <c r="AM564" s="75"/>
      <c r="AN564" s="75"/>
      <c r="AO564" s="284">
        <f t="shared" si="29"/>
        <v>0</v>
      </c>
      <c r="AP564" s="191"/>
    </row>
    <row r="565" spans="2:42" s="83" customFormat="1">
      <c r="B565" s="79" t="s">
        <v>89</v>
      </c>
      <c r="C565" s="79"/>
      <c r="D565" s="80"/>
      <c r="E565" s="81"/>
      <c r="F565" s="81"/>
      <c r="G565" s="81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75"/>
      <c r="AD565" s="75"/>
      <c r="AE565" s="166"/>
      <c r="AF565" s="75"/>
      <c r="AG565" s="75"/>
      <c r="AH565" s="75"/>
      <c r="AI565" s="75"/>
      <c r="AJ565" s="75"/>
      <c r="AK565" s="75"/>
      <c r="AL565" s="75"/>
      <c r="AM565" s="75"/>
      <c r="AN565" s="75"/>
      <c r="AO565" s="284">
        <f t="shared" si="29"/>
        <v>0</v>
      </c>
      <c r="AP565" s="191"/>
    </row>
    <row r="566" spans="2:42" s="83" customFormat="1">
      <c r="B566" s="79" t="s">
        <v>89</v>
      </c>
      <c r="C566" s="79"/>
      <c r="D566" s="80"/>
      <c r="E566" s="81"/>
      <c r="F566" s="81"/>
      <c r="G566" s="81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75"/>
      <c r="AD566" s="75"/>
      <c r="AE566" s="166"/>
      <c r="AF566" s="75"/>
      <c r="AG566" s="75"/>
      <c r="AH566" s="75"/>
      <c r="AI566" s="75"/>
      <c r="AJ566" s="75"/>
      <c r="AK566" s="75"/>
      <c r="AL566" s="75"/>
      <c r="AM566" s="75"/>
      <c r="AN566" s="75"/>
      <c r="AO566" s="284">
        <f t="shared" si="29"/>
        <v>0</v>
      </c>
      <c r="AP566" s="191"/>
    </row>
    <row r="567" spans="2:42" s="83" customFormat="1">
      <c r="B567" s="79" t="s">
        <v>89</v>
      </c>
      <c r="C567" s="79"/>
      <c r="D567" s="80"/>
      <c r="E567" s="81"/>
      <c r="F567" s="81"/>
      <c r="G567" s="81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75"/>
      <c r="AD567" s="75"/>
      <c r="AE567" s="166"/>
      <c r="AF567" s="75"/>
      <c r="AG567" s="75"/>
      <c r="AH567" s="75"/>
      <c r="AI567" s="75"/>
      <c r="AJ567" s="75"/>
      <c r="AK567" s="75"/>
      <c r="AL567" s="75"/>
      <c r="AM567" s="75"/>
      <c r="AN567" s="75"/>
      <c r="AO567" s="284">
        <f t="shared" si="29"/>
        <v>0</v>
      </c>
      <c r="AP567" s="191"/>
    </row>
    <row r="568" spans="2:42" s="83" customFormat="1">
      <c r="B568" s="79" t="s">
        <v>89</v>
      </c>
      <c r="C568" s="79"/>
      <c r="D568" s="80"/>
      <c r="E568" s="81"/>
      <c r="F568" s="81"/>
      <c r="G568" s="81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75"/>
      <c r="AD568" s="75"/>
      <c r="AE568" s="166"/>
      <c r="AF568" s="75"/>
      <c r="AG568" s="75"/>
      <c r="AH568" s="75"/>
      <c r="AI568" s="75"/>
      <c r="AJ568" s="75"/>
      <c r="AK568" s="75"/>
      <c r="AL568" s="75"/>
      <c r="AM568" s="75"/>
      <c r="AN568" s="75"/>
      <c r="AO568" s="284">
        <f t="shared" si="29"/>
        <v>0</v>
      </c>
      <c r="AP568" s="191"/>
    </row>
    <row r="569" spans="2:42" s="83" customFormat="1">
      <c r="B569" s="79" t="s">
        <v>89</v>
      </c>
      <c r="C569" s="79"/>
      <c r="D569" s="80"/>
      <c r="E569" s="81"/>
      <c r="F569" s="81"/>
      <c r="G569" s="81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75"/>
      <c r="AD569" s="75"/>
      <c r="AE569" s="166"/>
      <c r="AF569" s="75"/>
      <c r="AG569" s="75"/>
      <c r="AH569" s="75"/>
      <c r="AI569" s="75"/>
      <c r="AJ569" s="75"/>
      <c r="AK569" s="75"/>
      <c r="AL569" s="75"/>
      <c r="AM569" s="75"/>
      <c r="AN569" s="75"/>
      <c r="AO569" s="284">
        <f t="shared" si="29"/>
        <v>0</v>
      </c>
      <c r="AP569" s="191"/>
    </row>
    <row r="570" spans="2:42" s="83" customFormat="1">
      <c r="B570" s="79" t="s">
        <v>89</v>
      </c>
      <c r="C570" s="79"/>
      <c r="D570" s="80"/>
      <c r="E570" s="81"/>
      <c r="F570" s="81"/>
      <c r="G570" s="81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75"/>
      <c r="AD570" s="75"/>
      <c r="AE570" s="166"/>
      <c r="AF570" s="75"/>
      <c r="AG570" s="75"/>
      <c r="AH570" s="75"/>
      <c r="AI570" s="75"/>
      <c r="AJ570" s="75"/>
      <c r="AK570" s="75"/>
      <c r="AL570" s="75"/>
      <c r="AM570" s="75"/>
      <c r="AN570" s="75"/>
      <c r="AO570" s="284">
        <f t="shared" si="29"/>
        <v>0</v>
      </c>
      <c r="AP570" s="191"/>
    </row>
    <row r="571" spans="2:42" s="83" customFormat="1">
      <c r="B571" s="79" t="s">
        <v>89</v>
      </c>
      <c r="C571" s="79"/>
      <c r="D571" s="80"/>
      <c r="E571" s="81"/>
      <c r="F571" s="81"/>
      <c r="G571" s="81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75"/>
      <c r="AD571" s="75"/>
      <c r="AE571" s="166"/>
      <c r="AF571" s="75"/>
      <c r="AG571" s="75"/>
      <c r="AH571" s="75"/>
      <c r="AI571" s="75"/>
      <c r="AJ571" s="75"/>
      <c r="AK571" s="75"/>
      <c r="AL571" s="75"/>
      <c r="AM571" s="75"/>
      <c r="AN571" s="75"/>
      <c r="AO571" s="284">
        <f t="shared" si="29"/>
        <v>0</v>
      </c>
      <c r="AP571" s="191"/>
    </row>
    <row r="572" spans="2:42" s="83" customFormat="1">
      <c r="B572" s="79" t="s">
        <v>89</v>
      </c>
      <c r="C572" s="79"/>
      <c r="D572" s="80"/>
      <c r="E572" s="81"/>
      <c r="F572" s="81"/>
      <c r="G572" s="81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75"/>
      <c r="AD572" s="75"/>
      <c r="AE572" s="166"/>
      <c r="AF572" s="75"/>
      <c r="AG572" s="166"/>
      <c r="AH572" s="75"/>
      <c r="AI572" s="75"/>
      <c r="AJ572" s="75"/>
      <c r="AK572" s="75"/>
      <c r="AL572" s="75"/>
      <c r="AM572" s="75"/>
      <c r="AN572" s="75"/>
      <c r="AO572" s="284">
        <f t="shared" si="29"/>
        <v>0</v>
      </c>
      <c r="AP572" s="191"/>
    </row>
    <row r="573" spans="2:42" s="83" customFormat="1">
      <c r="B573" s="79" t="s">
        <v>89</v>
      </c>
      <c r="C573" s="79"/>
      <c r="D573" s="80"/>
      <c r="E573" s="81"/>
      <c r="F573" s="81"/>
      <c r="G573" s="81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75"/>
      <c r="AD573" s="75"/>
      <c r="AE573" s="166"/>
      <c r="AF573" s="75"/>
      <c r="AG573" s="75"/>
      <c r="AH573" s="75"/>
      <c r="AI573" s="75"/>
      <c r="AJ573" s="75"/>
      <c r="AK573" s="75"/>
      <c r="AL573" s="75"/>
      <c r="AM573" s="75"/>
      <c r="AN573" s="75"/>
      <c r="AO573" s="284">
        <f t="shared" si="29"/>
        <v>0</v>
      </c>
      <c r="AP573" s="191"/>
    </row>
    <row r="574" spans="2:42" s="83" customFormat="1">
      <c r="B574" s="79" t="s">
        <v>89</v>
      </c>
      <c r="C574" s="79"/>
      <c r="D574" s="80"/>
      <c r="E574" s="81"/>
      <c r="F574" s="81"/>
      <c r="G574" s="81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75"/>
      <c r="AD574" s="75"/>
      <c r="AE574" s="166"/>
      <c r="AF574" s="75"/>
      <c r="AG574" s="75"/>
      <c r="AH574" s="75"/>
      <c r="AI574" s="75"/>
      <c r="AJ574" s="75"/>
      <c r="AK574" s="75"/>
      <c r="AL574" s="75"/>
      <c r="AM574" s="75"/>
      <c r="AN574" s="75"/>
      <c r="AO574" s="284">
        <f t="shared" si="29"/>
        <v>0</v>
      </c>
      <c r="AP574" s="191"/>
    </row>
    <row r="575" spans="2:42" s="83" customFormat="1">
      <c r="B575" s="79" t="s">
        <v>89</v>
      </c>
      <c r="C575" s="79"/>
      <c r="D575" s="80"/>
      <c r="E575" s="81"/>
      <c r="F575" s="81"/>
      <c r="G575" s="81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75"/>
      <c r="AD575" s="75"/>
      <c r="AE575" s="166"/>
      <c r="AF575" s="75"/>
      <c r="AG575" s="166"/>
      <c r="AH575" s="75"/>
      <c r="AI575" s="75"/>
      <c r="AJ575" s="75"/>
      <c r="AK575" s="75"/>
      <c r="AL575" s="75"/>
      <c r="AM575" s="75"/>
      <c r="AN575" s="75"/>
      <c r="AO575" s="284">
        <f t="shared" si="29"/>
        <v>0</v>
      </c>
      <c r="AP575" s="191"/>
    </row>
    <row r="576" spans="2:42" s="83" customFormat="1">
      <c r="B576" s="79" t="s">
        <v>89</v>
      </c>
      <c r="C576" s="79"/>
      <c r="D576" s="80"/>
      <c r="E576" s="81"/>
      <c r="F576" s="81"/>
      <c r="G576" s="81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75"/>
      <c r="AD576" s="75"/>
      <c r="AE576" s="166"/>
      <c r="AF576" s="75"/>
      <c r="AG576" s="166"/>
      <c r="AH576" s="75"/>
      <c r="AI576" s="75"/>
      <c r="AJ576" s="75"/>
      <c r="AK576" s="75"/>
      <c r="AL576" s="75"/>
      <c r="AM576" s="75"/>
      <c r="AN576" s="75"/>
      <c r="AO576" s="284">
        <f t="shared" si="29"/>
        <v>0</v>
      </c>
      <c r="AP576" s="191"/>
    </row>
    <row r="577" spans="2:42" s="83" customFormat="1">
      <c r="B577" s="79" t="s">
        <v>89</v>
      </c>
      <c r="C577" s="79"/>
      <c r="D577" s="80"/>
      <c r="E577" s="81"/>
      <c r="F577" s="81"/>
      <c r="G577" s="81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75"/>
      <c r="AD577" s="75"/>
      <c r="AE577" s="166"/>
      <c r="AF577" s="75"/>
      <c r="AG577" s="75"/>
      <c r="AH577" s="75"/>
      <c r="AI577" s="75"/>
      <c r="AJ577" s="75"/>
      <c r="AK577" s="75"/>
      <c r="AL577" s="75"/>
      <c r="AM577" s="75"/>
      <c r="AN577" s="75"/>
      <c r="AO577" s="284">
        <f t="shared" si="29"/>
        <v>0</v>
      </c>
      <c r="AP577" s="191"/>
    </row>
    <row r="578" spans="2:42" s="83" customFormat="1">
      <c r="B578" s="79" t="s">
        <v>89</v>
      </c>
      <c r="C578" s="79"/>
      <c r="D578" s="80"/>
      <c r="E578" s="81"/>
      <c r="F578" s="81"/>
      <c r="G578" s="81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75"/>
      <c r="AD578" s="75"/>
      <c r="AE578" s="166"/>
      <c r="AF578" s="75"/>
      <c r="AG578" s="75"/>
      <c r="AH578" s="75"/>
      <c r="AI578" s="75"/>
      <c r="AJ578" s="75"/>
      <c r="AK578" s="75"/>
      <c r="AL578" s="75"/>
      <c r="AM578" s="75"/>
      <c r="AN578" s="75"/>
      <c r="AO578" s="284">
        <f t="shared" si="29"/>
        <v>0</v>
      </c>
      <c r="AP578" s="191"/>
    </row>
    <row r="579" spans="2:42" s="83" customFormat="1">
      <c r="B579" s="79" t="s">
        <v>89</v>
      </c>
      <c r="C579" s="79"/>
      <c r="D579" s="80"/>
      <c r="E579" s="81"/>
      <c r="F579" s="81"/>
      <c r="G579" s="81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75"/>
      <c r="AD579" s="75"/>
      <c r="AE579" s="75"/>
      <c r="AF579" s="75"/>
      <c r="AG579" s="166"/>
      <c r="AH579" s="75"/>
      <c r="AI579" s="75"/>
      <c r="AJ579" s="75"/>
      <c r="AK579" s="75"/>
      <c r="AL579" s="75"/>
      <c r="AM579" s="75"/>
      <c r="AN579" s="75"/>
      <c r="AO579" s="284">
        <f t="shared" si="29"/>
        <v>0</v>
      </c>
      <c r="AP579" s="191"/>
    </row>
    <row r="580" spans="2:42" s="83" customFormat="1" ht="15">
      <c r="B580" s="79" t="s">
        <v>89</v>
      </c>
      <c r="C580" s="79"/>
      <c r="D580" s="80"/>
      <c r="E580" s="81"/>
      <c r="F580" s="81"/>
      <c r="G580" s="81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75"/>
      <c r="AD580" s="75"/>
      <c r="AE580" s="75"/>
      <c r="AF580" s="75"/>
      <c r="AG580" s="75"/>
      <c r="AH580" s="75"/>
      <c r="AI580" s="75"/>
      <c r="AJ580" s="75"/>
      <c r="AK580" s="75"/>
      <c r="AL580" s="75"/>
      <c r="AM580" s="75"/>
      <c r="AN580" s="75"/>
      <c r="AO580" s="284">
        <f t="shared" si="29"/>
        <v>0</v>
      </c>
      <c r="AP580" s="191"/>
    </row>
    <row r="581" spans="2:42" s="83" customFormat="1" ht="15">
      <c r="B581" s="79" t="s">
        <v>89</v>
      </c>
      <c r="C581" s="79"/>
      <c r="D581" s="80"/>
      <c r="E581" s="81"/>
      <c r="F581" s="81"/>
      <c r="G581" s="81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75"/>
      <c r="AD581" s="75"/>
      <c r="AE581" s="75"/>
      <c r="AF581" s="75"/>
      <c r="AG581" s="75"/>
      <c r="AH581" s="75"/>
      <c r="AI581" s="75"/>
      <c r="AJ581" s="75"/>
      <c r="AK581" s="75"/>
      <c r="AL581" s="75"/>
      <c r="AM581" s="75"/>
      <c r="AN581" s="75"/>
      <c r="AO581" s="284">
        <f t="shared" si="29"/>
        <v>0</v>
      </c>
      <c r="AP581" s="191"/>
    </row>
    <row r="582" spans="2:42" s="83" customFormat="1">
      <c r="B582" s="79" t="s">
        <v>89</v>
      </c>
      <c r="C582" s="79"/>
      <c r="D582" s="80"/>
      <c r="E582" s="81"/>
      <c r="F582" s="81"/>
      <c r="G582" s="81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75"/>
      <c r="AD582" s="75"/>
      <c r="AE582" s="75"/>
      <c r="AF582" s="75"/>
      <c r="AG582" s="166"/>
      <c r="AH582" s="75"/>
      <c r="AI582" s="75"/>
      <c r="AJ582" s="75"/>
      <c r="AK582" s="75"/>
      <c r="AL582" s="75"/>
      <c r="AM582" s="75"/>
      <c r="AN582" s="75"/>
      <c r="AO582" s="284">
        <f t="shared" si="29"/>
        <v>0</v>
      </c>
      <c r="AP582" s="191"/>
    </row>
    <row r="583" spans="2:42" s="83" customFormat="1">
      <c r="B583" s="79" t="s">
        <v>89</v>
      </c>
      <c r="C583" s="79"/>
      <c r="D583" s="80"/>
      <c r="E583" s="81"/>
      <c r="F583" s="81"/>
      <c r="G583" s="81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75"/>
      <c r="AD583" s="75"/>
      <c r="AE583" s="75"/>
      <c r="AF583" s="75"/>
      <c r="AG583" s="166"/>
      <c r="AH583" s="75"/>
      <c r="AI583" s="75"/>
      <c r="AJ583" s="75"/>
      <c r="AK583" s="75"/>
      <c r="AL583" s="75"/>
      <c r="AM583" s="75"/>
      <c r="AN583" s="75"/>
      <c r="AO583" s="284">
        <f t="shared" si="29"/>
        <v>0</v>
      </c>
      <c r="AP583" s="191"/>
    </row>
    <row r="584" spans="2:42" s="83" customFormat="1">
      <c r="B584" s="79" t="s">
        <v>89</v>
      </c>
      <c r="C584" s="79"/>
      <c r="D584" s="80"/>
      <c r="E584" s="81"/>
      <c r="F584" s="81"/>
      <c r="G584" s="81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75"/>
      <c r="AD584" s="75"/>
      <c r="AE584" s="75"/>
      <c r="AF584" s="75"/>
      <c r="AG584" s="75"/>
      <c r="AH584" s="166"/>
      <c r="AI584" s="75"/>
      <c r="AJ584" s="75"/>
      <c r="AK584" s="75"/>
      <c r="AL584" s="75"/>
      <c r="AM584" s="75"/>
      <c r="AN584" s="75"/>
      <c r="AO584" s="284">
        <f t="shared" si="29"/>
        <v>0</v>
      </c>
      <c r="AP584" s="191"/>
    </row>
    <row r="585" spans="2:42" s="83" customFormat="1">
      <c r="B585" s="79" t="s">
        <v>89</v>
      </c>
      <c r="C585" s="79"/>
      <c r="D585" s="80"/>
      <c r="E585" s="81"/>
      <c r="F585" s="81"/>
      <c r="G585" s="81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75"/>
      <c r="AD585" s="75"/>
      <c r="AE585" s="75"/>
      <c r="AF585" s="75"/>
      <c r="AG585" s="75"/>
      <c r="AH585" s="166"/>
      <c r="AI585" s="75"/>
      <c r="AJ585" s="75"/>
      <c r="AK585" s="75"/>
      <c r="AL585" s="75"/>
      <c r="AM585" s="75"/>
      <c r="AN585" s="75"/>
      <c r="AO585" s="284">
        <f t="shared" si="29"/>
        <v>0</v>
      </c>
      <c r="AP585" s="191"/>
    </row>
    <row r="586" spans="2:42" s="83" customFormat="1" ht="15">
      <c r="B586" s="79" t="s">
        <v>89</v>
      </c>
      <c r="C586" s="82"/>
      <c r="D586" s="81"/>
      <c r="E586" s="81"/>
      <c r="F586" s="81"/>
      <c r="G586" s="81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75"/>
      <c r="AD586" s="75"/>
      <c r="AE586" s="75"/>
      <c r="AF586" s="75"/>
      <c r="AG586" s="75"/>
      <c r="AH586" s="75"/>
      <c r="AI586" s="75"/>
      <c r="AJ586" s="75"/>
      <c r="AK586" s="75"/>
      <c r="AL586" s="75"/>
      <c r="AM586" s="75"/>
      <c r="AN586" s="75"/>
      <c r="AO586" s="284">
        <f t="shared" si="29"/>
        <v>0</v>
      </c>
      <c r="AP586" s="191"/>
    </row>
    <row r="587" spans="2:42" s="83" customFormat="1" ht="15">
      <c r="B587" s="79" t="s">
        <v>89</v>
      </c>
      <c r="C587" s="82"/>
      <c r="D587" s="81"/>
      <c r="E587" s="81"/>
      <c r="F587" s="81"/>
      <c r="G587" s="81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75"/>
      <c r="AD587" s="75"/>
      <c r="AE587" s="75"/>
      <c r="AF587" s="75"/>
      <c r="AG587" s="75"/>
      <c r="AH587" s="75"/>
      <c r="AI587" s="75"/>
      <c r="AJ587" s="75"/>
      <c r="AK587" s="75"/>
      <c r="AL587" s="75"/>
      <c r="AM587" s="75"/>
      <c r="AN587" s="75"/>
      <c r="AO587" s="284">
        <f t="shared" si="29"/>
        <v>0</v>
      </c>
      <c r="AP587" s="191"/>
    </row>
    <row r="588" spans="2:42" s="83" customFormat="1" ht="15">
      <c r="B588" s="79" t="s">
        <v>89</v>
      </c>
      <c r="C588" s="82"/>
      <c r="D588" s="81"/>
      <c r="E588" s="81"/>
      <c r="F588" s="81"/>
      <c r="G588" s="81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75"/>
      <c r="AD588" s="75"/>
      <c r="AE588" s="75"/>
      <c r="AF588" s="75"/>
      <c r="AG588" s="75"/>
      <c r="AH588" s="75"/>
      <c r="AI588" s="75"/>
      <c r="AJ588" s="75"/>
      <c r="AK588" s="75"/>
      <c r="AL588" s="75"/>
      <c r="AM588" s="75"/>
      <c r="AN588" s="75"/>
      <c r="AO588" s="284">
        <f t="shared" si="29"/>
        <v>0</v>
      </c>
      <c r="AP588" s="191"/>
    </row>
    <row r="589" spans="2:42" s="83" customFormat="1" ht="15">
      <c r="B589" s="79" t="s">
        <v>89</v>
      </c>
      <c r="C589" s="82"/>
      <c r="D589" s="81"/>
      <c r="E589" s="81"/>
      <c r="F589" s="81"/>
      <c r="G589" s="81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75"/>
      <c r="AD589" s="75"/>
      <c r="AE589" s="75"/>
      <c r="AF589" s="75"/>
      <c r="AG589" s="75"/>
      <c r="AH589" s="75"/>
      <c r="AI589" s="75"/>
      <c r="AJ589" s="75"/>
      <c r="AK589" s="75"/>
      <c r="AL589" s="75"/>
      <c r="AM589" s="75"/>
      <c r="AN589" s="75"/>
      <c r="AO589" s="284">
        <f t="shared" si="29"/>
        <v>0</v>
      </c>
      <c r="AP589" s="191"/>
    </row>
    <row r="590" spans="2:42" s="83" customFormat="1" ht="15">
      <c r="B590" s="79" t="s">
        <v>89</v>
      </c>
      <c r="C590" s="82"/>
      <c r="D590" s="81"/>
      <c r="E590" s="81"/>
      <c r="F590" s="81"/>
      <c r="G590" s="81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75"/>
      <c r="AD590" s="75"/>
      <c r="AE590" s="75"/>
      <c r="AF590" s="75"/>
      <c r="AG590" s="75"/>
      <c r="AH590" s="75"/>
      <c r="AI590" s="75"/>
      <c r="AJ590" s="75"/>
      <c r="AK590" s="75"/>
      <c r="AL590" s="75"/>
      <c r="AM590" s="75"/>
      <c r="AN590" s="75"/>
      <c r="AO590" s="284">
        <f t="shared" si="29"/>
        <v>0</v>
      </c>
      <c r="AP590" s="191"/>
    </row>
    <row r="591" spans="2:42" s="83" customFormat="1" ht="15">
      <c r="B591" s="79" t="s">
        <v>89</v>
      </c>
      <c r="C591" s="82"/>
      <c r="D591" s="81"/>
      <c r="E591" s="81"/>
      <c r="F591" s="81"/>
      <c r="G591" s="81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75"/>
      <c r="AD591" s="75"/>
      <c r="AE591" s="75"/>
      <c r="AF591" s="75"/>
      <c r="AG591" s="75"/>
      <c r="AH591" s="75"/>
      <c r="AI591" s="75"/>
      <c r="AJ591" s="75"/>
      <c r="AK591" s="75"/>
      <c r="AL591" s="75"/>
      <c r="AM591" s="75"/>
      <c r="AN591" s="75"/>
      <c r="AO591" s="284">
        <f t="shared" si="29"/>
        <v>0</v>
      </c>
      <c r="AP591" s="191"/>
    </row>
    <row r="592" spans="2:42" s="83" customFormat="1" ht="15">
      <c r="B592" s="79" t="s">
        <v>89</v>
      </c>
      <c r="C592" s="82"/>
      <c r="D592" s="81"/>
      <c r="E592" s="81"/>
      <c r="F592" s="81"/>
      <c r="G592" s="81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75"/>
      <c r="AD592" s="75"/>
      <c r="AE592" s="75"/>
      <c r="AF592" s="75"/>
      <c r="AG592" s="75"/>
      <c r="AH592" s="75"/>
      <c r="AI592" s="75"/>
      <c r="AJ592" s="75"/>
      <c r="AK592" s="75"/>
      <c r="AL592" s="75"/>
      <c r="AM592" s="75"/>
      <c r="AN592" s="75"/>
      <c r="AO592" s="284">
        <f t="shared" si="29"/>
        <v>0</v>
      </c>
      <c r="AP592" s="191"/>
    </row>
    <row r="593" spans="2:42" s="83" customFormat="1" ht="15">
      <c r="B593" s="79" t="s">
        <v>89</v>
      </c>
      <c r="C593" s="82"/>
      <c r="D593" s="81"/>
      <c r="E593" s="81"/>
      <c r="F593" s="81"/>
      <c r="G593" s="81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75"/>
      <c r="AD593" s="75"/>
      <c r="AE593" s="75"/>
      <c r="AF593" s="75"/>
      <c r="AG593" s="75"/>
      <c r="AH593" s="75"/>
      <c r="AI593" s="75"/>
      <c r="AJ593" s="75"/>
      <c r="AK593" s="75"/>
      <c r="AL593" s="75"/>
      <c r="AM593" s="75"/>
      <c r="AN593" s="75"/>
      <c r="AO593" s="284">
        <f t="shared" si="29"/>
        <v>0</v>
      </c>
      <c r="AP593" s="191"/>
    </row>
    <row r="594" spans="2:42" s="83" customFormat="1" ht="15">
      <c r="B594" s="79" t="s">
        <v>89</v>
      </c>
      <c r="C594" s="82"/>
      <c r="D594" s="81"/>
      <c r="E594" s="81"/>
      <c r="F594" s="81"/>
      <c r="G594" s="81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75"/>
      <c r="AD594" s="75"/>
      <c r="AE594" s="75"/>
      <c r="AF594" s="75"/>
      <c r="AG594" s="75"/>
      <c r="AH594" s="75"/>
      <c r="AI594" s="75"/>
      <c r="AJ594" s="75"/>
      <c r="AK594" s="75"/>
      <c r="AL594" s="75"/>
      <c r="AM594" s="75"/>
      <c r="AN594" s="75"/>
      <c r="AO594" s="284">
        <f t="shared" si="29"/>
        <v>0</v>
      </c>
      <c r="AP594" s="191"/>
    </row>
    <row r="595" spans="2:42" s="83" customFormat="1">
      <c r="B595" s="79" t="s">
        <v>89</v>
      </c>
      <c r="C595" s="82"/>
      <c r="D595" s="81"/>
      <c r="E595" s="81"/>
      <c r="F595" s="81"/>
      <c r="G595" s="81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75"/>
      <c r="AD595" s="75"/>
      <c r="AE595" s="75"/>
      <c r="AF595" s="75"/>
      <c r="AG595" s="166"/>
      <c r="AH595" s="75"/>
      <c r="AI595" s="75"/>
      <c r="AJ595" s="75"/>
      <c r="AK595" s="75"/>
      <c r="AL595" s="75"/>
      <c r="AM595" s="75"/>
      <c r="AN595" s="75"/>
      <c r="AO595" s="284">
        <f t="shared" si="29"/>
        <v>0</v>
      </c>
      <c r="AP595" s="191"/>
    </row>
    <row r="596" spans="2:42" s="83" customFormat="1">
      <c r="B596" s="79" t="s">
        <v>89</v>
      </c>
      <c r="C596" s="82"/>
      <c r="D596" s="81"/>
      <c r="E596" s="81"/>
      <c r="F596" s="81"/>
      <c r="G596" s="81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75"/>
      <c r="AD596" s="75"/>
      <c r="AE596" s="75"/>
      <c r="AF596" s="75"/>
      <c r="AG596" s="166"/>
      <c r="AH596" s="75"/>
      <c r="AI596" s="75"/>
      <c r="AJ596" s="75"/>
      <c r="AK596" s="75"/>
      <c r="AL596" s="75"/>
      <c r="AM596" s="75"/>
      <c r="AN596" s="75"/>
      <c r="AO596" s="284">
        <f t="shared" si="29"/>
        <v>0</v>
      </c>
      <c r="AP596" s="191"/>
    </row>
    <row r="597" spans="2:42" s="83" customFormat="1">
      <c r="B597" s="79" t="s">
        <v>89</v>
      </c>
      <c r="C597" s="82"/>
      <c r="D597" s="81"/>
      <c r="E597" s="81"/>
      <c r="F597" s="81"/>
      <c r="G597" s="81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75"/>
      <c r="AD597" s="75"/>
      <c r="AE597" s="75"/>
      <c r="AF597" s="75"/>
      <c r="AG597" s="166"/>
      <c r="AH597" s="75"/>
      <c r="AI597" s="75"/>
      <c r="AJ597" s="75"/>
      <c r="AK597" s="75"/>
      <c r="AL597" s="75"/>
      <c r="AM597" s="75"/>
      <c r="AN597" s="75"/>
      <c r="AO597" s="284">
        <f t="shared" si="29"/>
        <v>0</v>
      </c>
      <c r="AP597" s="191"/>
    </row>
    <row r="598" spans="2:42" s="83" customFormat="1">
      <c r="B598" s="79" t="s">
        <v>89</v>
      </c>
      <c r="C598" s="82"/>
      <c r="D598" s="81"/>
      <c r="E598" s="81"/>
      <c r="F598" s="81"/>
      <c r="G598" s="81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75"/>
      <c r="AD598" s="75"/>
      <c r="AE598" s="75"/>
      <c r="AF598" s="75"/>
      <c r="AG598" s="166"/>
      <c r="AH598" s="75"/>
      <c r="AI598" s="75"/>
      <c r="AJ598" s="75"/>
      <c r="AK598" s="75"/>
      <c r="AL598" s="75"/>
      <c r="AM598" s="75"/>
      <c r="AN598" s="75"/>
      <c r="AO598" s="284">
        <f t="shared" si="29"/>
        <v>0</v>
      </c>
      <c r="AP598" s="191"/>
    </row>
    <row r="599" spans="2:42" s="83" customFormat="1">
      <c r="B599" s="79" t="s">
        <v>89</v>
      </c>
      <c r="C599" s="82"/>
      <c r="D599" s="81"/>
      <c r="E599" s="81"/>
      <c r="F599" s="81"/>
      <c r="G599" s="81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75"/>
      <c r="AD599" s="75"/>
      <c r="AE599" s="75"/>
      <c r="AF599" s="75"/>
      <c r="AG599" s="75"/>
      <c r="AH599" s="75"/>
      <c r="AI599" s="75"/>
      <c r="AJ599" s="75"/>
      <c r="AK599" s="75"/>
      <c r="AL599" s="75"/>
      <c r="AM599" s="75"/>
      <c r="AN599" s="166"/>
      <c r="AO599" s="284">
        <f t="shared" si="29"/>
        <v>0</v>
      </c>
      <c r="AP599" s="191"/>
    </row>
    <row r="600" spans="2:42" s="83" customFormat="1" ht="15">
      <c r="B600" s="79" t="s">
        <v>89</v>
      </c>
      <c r="C600" s="82"/>
      <c r="D600" s="81"/>
      <c r="E600" s="81"/>
      <c r="F600" s="81"/>
      <c r="G600" s="81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75"/>
      <c r="AD600" s="75"/>
      <c r="AE600" s="75"/>
      <c r="AF600" s="75"/>
      <c r="AG600" s="75"/>
      <c r="AH600" s="75"/>
      <c r="AI600" s="75"/>
      <c r="AJ600" s="75"/>
      <c r="AK600" s="75"/>
      <c r="AL600" s="75"/>
      <c r="AM600" s="75"/>
      <c r="AN600" s="75"/>
      <c r="AO600" s="284">
        <f t="shared" si="29"/>
        <v>0</v>
      </c>
      <c r="AP600" s="191"/>
    </row>
    <row r="601" spans="2:42" s="83" customFormat="1" ht="15">
      <c r="B601" s="79" t="s">
        <v>89</v>
      </c>
      <c r="C601" s="82"/>
      <c r="D601" s="81"/>
      <c r="E601" s="81"/>
      <c r="F601" s="81"/>
      <c r="G601" s="81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75"/>
      <c r="AD601" s="75"/>
      <c r="AE601" s="75"/>
      <c r="AF601" s="75"/>
      <c r="AG601" s="75"/>
      <c r="AH601" s="75"/>
      <c r="AI601" s="75"/>
      <c r="AJ601" s="75"/>
      <c r="AK601" s="75"/>
      <c r="AL601" s="75"/>
      <c r="AM601" s="75"/>
      <c r="AN601" s="75"/>
      <c r="AO601" s="284">
        <f t="shared" si="29"/>
        <v>0</v>
      </c>
      <c r="AP601" s="191"/>
    </row>
    <row r="602" spans="2:42" s="83" customFormat="1">
      <c r="B602" s="79" t="s">
        <v>89</v>
      </c>
      <c r="C602" s="82"/>
      <c r="D602" s="81"/>
      <c r="E602" s="81"/>
      <c r="F602" s="81"/>
      <c r="G602" s="81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75"/>
      <c r="AD602" s="75"/>
      <c r="AE602" s="75"/>
      <c r="AF602" s="75"/>
      <c r="AG602" s="166"/>
      <c r="AH602" s="75"/>
      <c r="AI602" s="75"/>
      <c r="AJ602" s="75"/>
      <c r="AK602" s="75"/>
      <c r="AL602" s="75"/>
      <c r="AM602" s="75"/>
      <c r="AN602" s="75"/>
      <c r="AO602" s="284">
        <f t="shared" si="29"/>
        <v>0</v>
      </c>
      <c r="AP602" s="191"/>
    </row>
    <row r="603" spans="2:42" s="83" customFormat="1">
      <c r="B603" s="79" t="s">
        <v>89</v>
      </c>
      <c r="C603" s="82"/>
      <c r="D603" s="81"/>
      <c r="E603" s="81"/>
      <c r="F603" s="81"/>
      <c r="G603" s="81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75"/>
      <c r="AD603" s="75"/>
      <c r="AE603" s="75"/>
      <c r="AF603" s="75"/>
      <c r="AG603" s="166"/>
      <c r="AH603" s="75"/>
      <c r="AI603" s="75"/>
      <c r="AJ603" s="75"/>
      <c r="AK603" s="75"/>
      <c r="AL603" s="75"/>
      <c r="AM603" s="75"/>
      <c r="AN603" s="75"/>
      <c r="AO603" s="284">
        <f t="shared" si="29"/>
        <v>0</v>
      </c>
      <c r="AP603" s="191"/>
    </row>
    <row r="604" spans="2:42" s="83" customFormat="1" ht="16.5" thickBot="1">
      <c r="B604" s="79" t="s">
        <v>89</v>
      </c>
      <c r="C604" s="82"/>
      <c r="D604" s="81"/>
      <c r="E604" s="81"/>
      <c r="F604" s="81"/>
      <c r="G604" s="81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75"/>
      <c r="AD604" s="75"/>
      <c r="AE604" s="75"/>
      <c r="AF604" s="75"/>
      <c r="AG604" s="166"/>
      <c r="AH604" s="75"/>
      <c r="AI604" s="75"/>
      <c r="AJ604" s="75"/>
      <c r="AK604" s="75"/>
      <c r="AL604" s="75"/>
      <c r="AM604" s="75"/>
      <c r="AN604" s="75"/>
      <c r="AO604" s="284">
        <f t="shared" si="29"/>
        <v>0</v>
      </c>
      <c r="AP604" s="231"/>
    </row>
    <row r="605" spans="2:42" s="83" customFormat="1">
      <c r="B605" s="79" t="s">
        <v>89</v>
      </c>
      <c r="C605" s="82"/>
      <c r="D605" s="81"/>
      <c r="E605" s="81"/>
      <c r="F605" s="81"/>
      <c r="G605" s="81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75"/>
      <c r="AD605" s="75"/>
      <c r="AE605" s="75"/>
      <c r="AF605" s="75"/>
      <c r="AG605" s="166"/>
      <c r="AH605" s="75"/>
      <c r="AI605" s="75"/>
      <c r="AJ605" s="75"/>
      <c r="AK605" s="75"/>
      <c r="AL605" s="75"/>
      <c r="AM605" s="75"/>
      <c r="AN605" s="75"/>
      <c r="AO605" s="284">
        <f>SUM(I605:AN605)</f>
        <v>0</v>
      </c>
      <c r="AP605" s="199">
        <f>SUM(AO605:AO643)</f>
        <v>0</v>
      </c>
    </row>
    <row r="606" spans="2:42" s="83" customFormat="1">
      <c r="B606" s="79" t="s">
        <v>89</v>
      </c>
      <c r="C606" s="82"/>
      <c r="D606" s="81"/>
      <c r="E606" s="81"/>
      <c r="F606" s="81"/>
      <c r="G606" s="81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75"/>
      <c r="AD606" s="75"/>
      <c r="AE606" s="75"/>
      <c r="AF606" s="75"/>
      <c r="AG606" s="166"/>
      <c r="AH606" s="75"/>
      <c r="AI606" s="75"/>
      <c r="AJ606" s="75"/>
      <c r="AK606" s="75"/>
      <c r="AL606" s="75"/>
      <c r="AM606" s="75"/>
      <c r="AN606" s="75"/>
      <c r="AO606" s="284">
        <f t="shared" ref="AO606:AO628" si="30">SUM(I606:AN606)</f>
        <v>0</v>
      </c>
      <c r="AP606" s="191"/>
    </row>
    <row r="607" spans="2:42" s="83" customFormat="1">
      <c r="B607" s="79" t="s">
        <v>89</v>
      </c>
      <c r="C607" s="82"/>
      <c r="D607" s="81"/>
      <c r="E607" s="81"/>
      <c r="F607" s="81"/>
      <c r="G607" s="81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75"/>
      <c r="AD607" s="75"/>
      <c r="AE607" s="75"/>
      <c r="AF607" s="75"/>
      <c r="AG607" s="166"/>
      <c r="AH607" s="75"/>
      <c r="AI607" s="75"/>
      <c r="AJ607" s="75"/>
      <c r="AK607" s="75"/>
      <c r="AL607" s="75"/>
      <c r="AM607" s="75"/>
      <c r="AN607" s="75"/>
      <c r="AO607" s="284">
        <f t="shared" si="30"/>
        <v>0</v>
      </c>
      <c r="AP607" s="191"/>
    </row>
    <row r="608" spans="2:42" s="83" customFormat="1">
      <c r="B608" s="79" t="s">
        <v>89</v>
      </c>
      <c r="C608" s="82"/>
      <c r="D608" s="81"/>
      <c r="E608" s="81"/>
      <c r="F608" s="81"/>
      <c r="G608" s="81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75"/>
      <c r="AD608" s="75"/>
      <c r="AE608" s="75"/>
      <c r="AF608" s="75"/>
      <c r="AG608" s="166"/>
      <c r="AH608" s="75"/>
      <c r="AI608" s="75"/>
      <c r="AJ608" s="75"/>
      <c r="AK608" s="75"/>
      <c r="AL608" s="75"/>
      <c r="AM608" s="75"/>
      <c r="AN608" s="75"/>
      <c r="AO608" s="284">
        <f t="shared" si="30"/>
        <v>0</v>
      </c>
      <c r="AP608" s="191"/>
    </row>
    <row r="609" spans="2:42" s="83" customFormat="1">
      <c r="B609" s="79" t="s">
        <v>89</v>
      </c>
      <c r="C609" s="82"/>
      <c r="D609" s="81"/>
      <c r="E609" s="81"/>
      <c r="F609" s="81"/>
      <c r="G609" s="81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75"/>
      <c r="AD609" s="75"/>
      <c r="AE609" s="75"/>
      <c r="AF609" s="75"/>
      <c r="AG609" s="166"/>
      <c r="AH609" s="75"/>
      <c r="AI609" s="75"/>
      <c r="AJ609" s="75"/>
      <c r="AK609" s="75"/>
      <c r="AL609" s="75"/>
      <c r="AM609" s="75"/>
      <c r="AN609" s="75"/>
      <c r="AO609" s="284">
        <f t="shared" si="30"/>
        <v>0</v>
      </c>
      <c r="AP609" s="191"/>
    </row>
    <row r="610" spans="2:42" s="83" customFormat="1">
      <c r="B610" s="79" t="s">
        <v>89</v>
      </c>
      <c r="C610" s="82"/>
      <c r="D610" s="81"/>
      <c r="E610" s="81"/>
      <c r="F610" s="81"/>
      <c r="G610" s="81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75"/>
      <c r="AD610" s="75"/>
      <c r="AE610" s="75"/>
      <c r="AF610" s="75"/>
      <c r="AG610" s="166"/>
      <c r="AH610" s="75"/>
      <c r="AI610" s="166"/>
      <c r="AJ610" s="75"/>
      <c r="AK610" s="75"/>
      <c r="AL610" s="75"/>
      <c r="AM610" s="75"/>
      <c r="AN610" s="75"/>
      <c r="AO610" s="284">
        <f t="shared" si="30"/>
        <v>0</v>
      </c>
      <c r="AP610" s="191"/>
    </row>
    <row r="611" spans="2:42" s="83" customFormat="1">
      <c r="B611" s="79" t="s">
        <v>89</v>
      </c>
      <c r="C611" s="82"/>
      <c r="D611" s="81"/>
      <c r="E611" s="81"/>
      <c r="F611" s="81"/>
      <c r="G611" s="81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75"/>
      <c r="AD611" s="75"/>
      <c r="AE611" s="75"/>
      <c r="AF611" s="75"/>
      <c r="AG611" s="166"/>
      <c r="AH611" s="75"/>
      <c r="AI611" s="75"/>
      <c r="AJ611" s="75"/>
      <c r="AK611" s="75"/>
      <c r="AL611" s="75"/>
      <c r="AM611" s="75"/>
      <c r="AN611" s="75"/>
      <c r="AO611" s="284">
        <f t="shared" si="30"/>
        <v>0</v>
      </c>
      <c r="AP611" s="191"/>
    </row>
    <row r="612" spans="2:42" s="83" customFormat="1">
      <c r="B612" s="79" t="s">
        <v>89</v>
      </c>
      <c r="C612" s="82"/>
      <c r="D612" s="81"/>
      <c r="E612" s="81"/>
      <c r="F612" s="81"/>
      <c r="G612" s="81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75"/>
      <c r="AD612" s="75"/>
      <c r="AE612" s="75"/>
      <c r="AF612" s="75"/>
      <c r="AG612" s="166"/>
      <c r="AH612" s="75"/>
      <c r="AI612" s="75"/>
      <c r="AJ612" s="75"/>
      <c r="AK612" s="75"/>
      <c r="AL612" s="75"/>
      <c r="AM612" s="75"/>
      <c r="AN612" s="75"/>
      <c r="AO612" s="284">
        <f t="shared" si="30"/>
        <v>0</v>
      </c>
      <c r="AP612" s="191"/>
    </row>
    <row r="613" spans="2:42" s="83" customFormat="1">
      <c r="B613" s="79" t="s">
        <v>89</v>
      </c>
      <c r="C613" s="82"/>
      <c r="D613" s="81"/>
      <c r="E613" s="81"/>
      <c r="F613" s="81"/>
      <c r="G613" s="81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75"/>
      <c r="AD613" s="75"/>
      <c r="AE613" s="75"/>
      <c r="AF613" s="75"/>
      <c r="AG613" s="166"/>
      <c r="AH613" s="75"/>
      <c r="AI613" s="75"/>
      <c r="AJ613" s="75"/>
      <c r="AK613" s="75"/>
      <c r="AL613" s="75"/>
      <c r="AM613" s="75"/>
      <c r="AN613" s="75"/>
      <c r="AO613" s="284">
        <f t="shared" si="30"/>
        <v>0</v>
      </c>
      <c r="AP613" s="191"/>
    </row>
    <row r="614" spans="2:42" s="83" customFormat="1">
      <c r="B614" s="79" t="s">
        <v>89</v>
      </c>
      <c r="C614" s="82"/>
      <c r="D614" s="81"/>
      <c r="E614" s="81"/>
      <c r="F614" s="81"/>
      <c r="G614" s="81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75"/>
      <c r="AD614" s="75"/>
      <c r="AE614" s="75"/>
      <c r="AF614" s="75"/>
      <c r="AG614" s="166"/>
      <c r="AH614" s="75"/>
      <c r="AI614" s="75"/>
      <c r="AJ614" s="75"/>
      <c r="AK614" s="75"/>
      <c r="AL614" s="75"/>
      <c r="AM614" s="75"/>
      <c r="AN614" s="75"/>
      <c r="AO614" s="284">
        <f t="shared" si="30"/>
        <v>0</v>
      </c>
      <c r="AP614" s="191"/>
    </row>
    <row r="615" spans="2:42" s="83" customFormat="1">
      <c r="B615" s="79" t="s">
        <v>89</v>
      </c>
      <c r="C615" s="82"/>
      <c r="D615" s="81"/>
      <c r="E615" s="81"/>
      <c r="F615" s="81"/>
      <c r="G615" s="81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75"/>
      <c r="AD615" s="75"/>
      <c r="AE615" s="75"/>
      <c r="AF615" s="75"/>
      <c r="AG615" s="166"/>
      <c r="AH615" s="75"/>
      <c r="AI615" s="75"/>
      <c r="AJ615" s="75"/>
      <c r="AK615" s="75"/>
      <c r="AL615" s="75"/>
      <c r="AM615" s="75"/>
      <c r="AN615" s="75"/>
      <c r="AO615" s="284">
        <f t="shared" ref="AO615:AO623" si="31">SUM(I615:AN615)</f>
        <v>0</v>
      </c>
      <c r="AP615" s="191"/>
    </row>
    <row r="616" spans="2:42" s="83" customFormat="1">
      <c r="B616" s="79" t="s">
        <v>89</v>
      </c>
      <c r="C616" s="82"/>
      <c r="D616" s="81"/>
      <c r="E616" s="81"/>
      <c r="F616" s="81"/>
      <c r="G616" s="81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75"/>
      <c r="AD616" s="75"/>
      <c r="AE616" s="75"/>
      <c r="AF616" s="75"/>
      <c r="AG616" s="166"/>
      <c r="AH616" s="75"/>
      <c r="AI616" s="75"/>
      <c r="AJ616" s="75"/>
      <c r="AK616" s="75"/>
      <c r="AL616" s="75"/>
      <c r="AM616" s="75"/>
      <c r="AN616" s="75"/>
      <c r="AO616" s="284">
        <f t="shared" si="31"/>
        <v>0</v>
      </c>
      <c r="AP616" s="191"/>
    </row>
    <row r="617" spans="2:42" s="83" customFormat="1">
      <c r="B617" s="79" t="s">
        <v>89</v>
      </c>
      <c r="C617" s="82"/>
      <c r="D617" s="81"/>
      <c r="E617" s="81"/>
      <c r="F617" s="81"/>
      <c r="G617" s="81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75"/>
      <c r="AD617" s="75"/>
      <c r="AE617" s="75"/>
      <c r="AF617" s="75"/>
      <c r="AG617" s="166"/>
      <c r="AH617" s="75"/>
      <c r="AI617" s="75"/>
      <c r="AJ617" s="75"/>
      <c r="AK617" s="75"/>
      <c r="AL617" s="75"/>
      <c r="AM617" s="75"/>
      <c r="AN617" s="75"/>
      <c r="AO617" s="284">
        <f t="shared" si="31"/>
        <v>0</v>
      </c>
      <c r="AP617" s="191"/>
    </row>
    <row r="618" spans="2:42" s="83" customFormat="1">
      <c r="B618" s="79" t="s">
        <v>89</v>
      </c>
      <c r="C618" s="82"/>
      <c r="D618" s="81"/>
      <c r="E618" s="81"/>
      <c r="F618" s="81"/>
      <c r="G618" s="81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75"/>
      <c r="AD618" s="75"/>
      <c r="AE618" s="75"/>
      <c r="AF618" s="75"/>
      <c r="AG618" s="166"/>
      <c r="AH618" s="75"/>
      <c r="AI618" s="75"/>
      <c r="AJ618" s="75"/>
      <c r="AK618" s="75"/>
      <c r="AL618" s="75"/>
      <c r="AM618" s="75"/>
      <c r="AN618" s="75"/>
      <c r="AO618" s="284">
        <f t="shared" si="31"/>
        <v>0</v>
      </c>
      <c r="AP618" s="191"/>
    </row>
    <row r="619" spans="2:42" s="83" customFormat="1">
      <c r="B619" s="79" t="s">
        <v>89</v>
      </c>
      <c r="C619" s="82"/>
      <c r="D619" s="81"/>
      <c r="E619" s="81"/>
      <c r="F619" s="81"/>
      <c r="G619" s="81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75"/>
      <c r="AD619" s="75"/>
      <c r="AE619" s="75"/>
      <c r="AF619" s="75"/>
      <c r="AG619" s="166"/>
      <c r="AH619" s="75"/>
      <c r="AI619" s="75"/>
      <c r="AJ619" s="75"/>
      <c r="AK619" s="75"/>
      <c r="AL619" s="75"/>
      <c r="AM619" s="75"/>
      <c r="AN619" s="75"/>
      <c r="AO619" s="284">
        <f t="shared" si="31"/>
        <v>0</v>
      </c>
      <c r="AP619" s="191"/>
    </row>
    <row r="620" spans="2:42" s="83" customFormat="1">
      <c r="B620" s="79" t="s">
        <v>89</v>
      </c>
      <c r="C620" s="82"/>
      <c r="D620" s="81"/>
      <c r="E620" s="81"/>
      <c r="F620" s="81"/>
      <c r="G620" s="81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75"/>
      <c r="AD620" s="75"/>
      <c r="AE620" s="75"/>
      <c r="AF620" s="75"/>
      <c r="AG620" s="166"/>
      <c r="AH620" s="75"/>
      <c r="AI620" s="75"/>
      <c r="AJ620" s="75"/>
      <c r="AK620" s="75"/>
      <c r="AL620" s="75"/>
      <c r="AM620" s="75"/>
      <c r="AN620" s="75"/>
      <c r="AO620" s="284">
        <f t="shared" si="31"/>
        <v>0</v>
      </c>
      <c r="AP620" s="191"/>
    </row>
    <row r="621" spans="2:42" s="83" customFormat="1">
      <c r="B621" s="79" t="s">
        <v>89</v>
      </c>
      <c r="C621" s="82"/>
      <c r="D621" s="81"/>
      <c r="E621" s="81"/>
      <c r="F621" s="81"/>
      <c r="G621" s="81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75"/>
      <c r="AD621" s="75"/>
      <c r="AE621" s="75"/>
      <c r="AF621" s="75"/>
      <c r="AG621" s="166"/>
      <c r="AH621" s="75"/>
      <c r="AI621" s="75"/>
      <c r="AJ621" s="75"/>
      <c r="AK621" s="75"/>
      <c r="AL621" s="75"/>
      <c r="AM621" s="75"/>
      <c r="AN621" s="75"/>
      <c r="AO621" s="284">
        <f t="shared" si="31"/>
        <v>0</v>
      </c>
      <c r="AP621" s="191"/>
    </row>
    <row r="622" spans="2:42" s="83" customFormat="1">
      <c r="B622" s="79" t="s">
        <v>89</v>
      </c>
      <c r="C622" s="82"/>
      <c r="D622" s="81"/>
      <c r="E622" s="81"/>
      <c r="F622" s="81"/>
      <c r="G622" s="81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75"/>
      <c r="AD622" s="75"/>
      <c r="AE622" s="75"/>
      <c r="AF622" s="75"/>
      <c r="AG622" s="166"/>
      <c r="AH622" s="75"/>
      <c r="AI622" s="75"/>
      <c r="AJ622" s="75"/>
      <c r="AK622" s="75"/>
      <c r="AL622" s="75"/>
      <c r="AM622" s="75"/>
      <c r="AN622" s="75"/>
      <c r="AO622" s="284">
        <f t="shared" si="31"/>
        <v>0</v>
      </c>
      <c r="AP622" s="191"/>
    </row>
    <row r="623" spans="2:42" s="83" customFormat="1">
      <c r="B623" s="79" t="s">
        <v>89</v>
      </c>
      <c r="C623" s="82"/>
      <c r="D623" s="81"/>
      <c r="E623" s="81"/>
      <c r="F623" s="81"/>
      <c r="G623" s="81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75"/>
      <c r="AD623" s="75"/>
      <c r="AE623" s="75"/>
      <c r="AF623" s="75"/>
      <c r="AG623" s="166"/>
      <c r="AH623" s="75"/>
      <c r="AI623" s="75"/>
      <c r="AJ623" s="75"/>
      <c r="AK623" s="75"/>
      <c r="AL623" s="75"/>
      <c r="AM623" s="75"/>
      <c r="AN623" s="75"/>
      <c r="AO623" s="284">
        <f t="shared" si="31"/>
        <v>0</v>
      </c>
      <c r="AP623" s="191"/>
    </row>
    <row r="624" spans="2:42" s="83" customFormat="1">
      <c r="B624" s="79" t="s">
        <v>89</v>
      </c>
      <c r="C624" s="82"/>
      <c r="D624" s="81"/>
      <c r="E624" s="81"/>
      <c r="F624" s="81"/>
      <c r="G624" s="81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75"/>
      <c r="AD624" s="75"/>
      <c r="AE624" s="75"/>
      <c r="AF624" s="75"/>
      <c r="AG624" s="166"/>
      <c r="AH624" s="75"/>
      <c r="AI624" s="75"/>
      <c r="AJ624" s="75"/>
      <c r="AK624" s="75"/>
      <c r="AL624" s="75"/>
      <c r="AM624" s="75"/>
      <c r="AN624" s="75"/>
      <c r="AO624" s="284">
        <f t="shared" si="30"/>
        <v>0</v>
      </c>
      <c r="AP624" s="191"/>
    </row>
    <row r="625" spans="2:42" s="83" customFormat="1">
      <c r="B625" s="79" t="s">
        <v>89</v>
      </c>
      <c r="C625" s="82"/>
      <c r="D625" s="81"/>
      <c r="E625" s="81"/>
      <c r="F625" s="81"/>
      <c r="G625" s="81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75"/>
      <c r="AD625" s="75"/>
      <c r="AE625" s="75"/>
      <c r="AF625" s="75"/>
      <c r="AG625" s="166"/>
      <c r="AH625" s="75"/>
      <c r="AI625" s="75"/>
      <c r="AJ625" s="75"/>
      <c r="AK625" s="75"/>
      <c r="AL625" s="75"/>
      <c r="AM625" s="75"/>
      <c r="AN625" s="75"/>
      <c r="AO625" s="284">
        <f t="shared" si="30"/>
        <v>0</v>
      </c>
      <c r="AP625" s="191"/>
    </row>
    <row r="626" spans="2:42" s="83" customFormat="1">
      <c r="B626" s="79" t="s">
        <v>89</v>
      </c>
      <c r="C626" s="82"/>
      <c r="D626" s="81"/>
      <c r="E626" s="81"/>
      <c r="F626" s="81"/>
      <c r="G626" s="81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75"/>
      <c r="AD626" s="75"/>
      <c r="AE626" s="75"/>
      <c r="AF626" s="75"/>
      <c r="AG626" s="166"/>
      <c r="AH626" s="75"/>
      <c r="AI626" s="75"/>
      <c r="AJ626" s="75"/>
      <c r="AK626" s="75"/>
      <c r="AL626" s="75"/>
      <c r="AM626" s="75"/>
      <c r="AN626" s="75"/>
      <c r="AO626" s="284">
        <f t="shared" si="30"/>
        <v>0</v>
      </c>
      <c r="AP626" s="191"/>
    </row>
    <row r="627" spans="2:42" s="83" customFormat="1">
      <c r="B627" s="79" t="s">
        <v>89</v>
      </c>
      <c r="C627" s="82"/>
      <c r="D627" s="81"/>
      <c r="E627" s="81"/>
      <c r="F627" s="81"/>
      <c r="G627" s="81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75"/>
      <c r="AD627" s="75"/>
      <c r="AE627" s="75"/>
      <c r="AF627" s="75"/>
      <c r="AG627" s="166"/>
      <c r="AH627" s="75"/>
      <c r="AI627" s="75"/>
      <c r="AJ627" s="75"/>
      <c r="AK627" s="75"/>
      <c r="AL627" s="75"/>
      <c r="AM627" s="75"/>
      <c r="AN627" s="75"/>
      <c r="AO627" s="284">
        <f t="shared" si="30"/>
        <v>0</v>
      </c>
      <c r="AP627" s="191"/>
    </row>
    <row r="628" spans="2:42" s="83" customFormat="1">
      <c r="B628" s="79" t="s">
        <v>89</v>
      </c>
      <c r="C628" s="82"/>
      <c r="D628" s="81"/>
      <c r="E628" s="81"/>
      <c r="F628" s="81"/>
      <c r="G628" s="81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75"/>
      <c r="AD628" s="75"/>
      <c r="AE628" s="75"/>
      <c r="AF628" s="75"/>
      <c r="AG628" s="166"/>
      <c r="AH628" s="75"/>
      <c r="AI628" s="75"/>
      <c r="AJ628" s="75"/>
      <c r="AK628" s="75"/>
      <c r="AL628" s="75"/>
      <c r="AM628" s="75"/>
      <c r="AN628" s="75"/>
      <c r="AO628" s="284">
        <f t="shared" si="30"/>
        <v>0</v>
      </c>
      <c r="AP628" s="191"/>
    </row>
    <row r="629" spans="2:42" s="83" customFormat="1">
      <c r="B629" s="79" t="s">
        <v>89</v>
      </c>
      <c r="C629" s="82"/>
      <c r="D629" s="81"/>
      <c r="E629" s="81"/>
      <c r="F629" s="81"/>
      <c r="G629" s="81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75"/>
      <c r="AD629" s="75"/>
      <c r="AE629" s="75"/>
      <c r="AF629" s="75"/>
      <c r="AG629" s="166"/>
      <c r="AH629" s="75"/>
      <c r="AI629" s="75"/>
      <c r="AJ629" s="75"/>
      <c r="AK629" s="75"/>
      <c r="AL629" s="75"/>
      <c r="AM629" s="75"/>
      <c r="AN629" s="75"/>
      <c r="AO629" s="284">
        <f t="shared" ref="AO629:AO638" si="32">SUM(I629:AN629)</f>
        <v>0</v>
      </c>
      <c r="AP629" s="191"/>
    </row>
    <row r="630" spans="2:42" s="83" customFormat="1">
      <c r="B630" s="79" t="s">
        <v>89</v>
      </c>
      <c r="C630" s="82"/>
      <c r="D630" s="81"/>
      <c r="E630" s="81"/>
      <c r="F630" s="81"/>
      <c r="G630" s="81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75"/>
      <c r="AD630" s="75"/>
      <c r="AE630" s="75"/>
      <c r="AF630" s="75"/>
      <c r="AG630" s="166"/>
      <c r="AH630" s="75"/>
      <c r="AI630" s="75"/>
      <c r="AJ630" s="75"/>
      <c r="AK630" s="75"/>
      <c r="AL630" s="75"/>
      <c r="AM630" s="75"/>
      <c r="AN630" s="75"/>
      <c r="AO630" s="284">
        <f t="shared" si="32"/>
        <v>0</v>
      </c>
      <c r="AP630" s="191"/>
    </row>
    <row r="631" spans="2:42" s="83" customFormat="1">
      <c r="B631" s="79" t="s">
        <v>89</v>
      </c>
      <c r="C631" s="82"/>
      <c r="D631" s="81"/>
      <c r="E631" s="81"/>
      <c r="F631" s="81"/>
      <c r="G631" s="81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75"/>
      <c r="AD631" s="75"/>
      <c r="AE631" s="75"/>
      <c r="AF631" s="75"/>
      <c r="AG631" s="166"/>
      <c r="AH631" s="75"/>
      <c r="AI631" s="75"/>
      <c r="AJ631" s="75"/>
      <c r="AK631" s="75"/>
      <c r="AL631" s="75"/>
      <c r="AM631" s="75"/>
      <c r="AN631" s="75"/>
      <c r="AO631" s="284">
        <f t="shared" si="32"/>
        <v>0</v>
      </c>
      <c r="AP631" s="191"/>
    </row>
    <row r="632" spans="2:42" s="83" customFormat="1">
      <c r="B632" s="79" t="s">
        <v>89</v>
      </c>
      <c r="C632" s="82"/>
      <c r="D632" s="81"/>
      <c r="E632" s="81"/>
      <c r="F632" s="81"/>
      <c r="G632" s="81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75"/>
      <c r="AD632" s="75"/>
      <c r="AE632" s="75"/>
      <c r="AF632" s="75"/>
      <c r="AG632" s="166"/>
      <c r="AH632" s="75"/>
      <c r="AI632" s="75"/>
      <c r="AJ632" s="75"/>
      <c r="AK632" s="75"/>
      <c r="AL632" s="75"/>
      <c r="AM632" s="75"/>
      <c r="AN632" s="75"/>
      <c r="AO632" s="284">
        <f t="shared" si="32"/>
        <v>0</v>
      </c>
      <c r="AP632" s="191"/>
    </row>
    <row r="633" spans="2:42" s="83" customFormat="1">
      <c r="B633" s="79" t="s">
        <v>89</v>
      </c>
      <c r="C633" s="82"/>
      <c r="D633" s="81"/>
      <c r="E633" s="81"/>
      <c r="F633" s="81"/>
      <c r="G633" s="81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75"/>
      <c r="AD633" s="75"/>
      <c r="AE633" s="75"/>
      <c r="AF633" s="75"/>
      <c r="AG633" s="166"/>
      <c r="AH633" s="75"/>
      <c r="AI633" s="75"/>
      <c r="AJ633" s="75"/>
      <c r="AK633" s="75"/>
      <c r="AL633" s="75"/>
      <c r="AM633" s="75"/>
      <c r="AN633" s="75"/>
      <c r="AO633" s="284">
        <f>SUM(I633:AN633)</f>
        <v>0</v>
      </c>
      <c r="AP633" s="191"/>
    </row>
    <row r="634" spans="2:42" s="83" customFormat="1">
      <c r="B634" s="79" t="s">
        <v>89</v>
      </c>
      <c r="C634" s="82"/>
      <c r="D634" s="81"/>
      <c r="E634" s="81"/>
      <c r="F634" s="81"/>
      <c r="G634" s="81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75"/>
      <c r="AD634" s="75"/>
      <c r="AE634" s="75"/>
      <c r="AF634" s="75"/>
      <c r="AG634" s="166"/>
      <c r="AH634" s="75"/>
      <c r="AI634" s="75"/>
      <c r="AJ634" s="75"/>
      <c r="AK634" s="75"/>
      <c r="AL634" s="75"/>
      <c r="AM634" s="75"/>
      <c r="AN634" s="75"/>
      <c r="AO634" s="284">
        <f>SUM(I634:AN634)</f>
        <v>0</v>
      </c>
      <c r="AP634" s="191"/>
    </row>
    <row r="635" spans="2:42" s="83" customFormat="1">
      <c r="B635" s="79" t="s">
        <v>89</v>
      </c>
      <c r="C635" s="82"/>
      <c r="D635" s="81"/>
      <c r="E635" s="81"/>
      <c r="F635" s="81"/>
      <c r="G635" s="81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75"/>
      <c r="AD635" s="75"/>
      <c r="AE635" s="75"/>
      <c r="AF635" s="75"/>
      <c r="AG635" s="166"/>
      <c r="AH635" s="75"/>
      <c r="AI635" s="75"/>
      <c r="AJ635" s="75"/>
      <c r="AK635" s="75"/>
      <c r="AL635" s="75"/>
      <c r="AM635" s="75"/>
      <c r="AN635" s="75"/>
      <c r="AO635" s="284">
        <f>SUM(I635:AN635)</f>
        <v>0</v>
      </c>
      <c r="AP635" s="191"/>
    </row>
    <row r="636" spans="2:42" s="83" customFormat="1">
      <c r="B636" s="79" t="s">
        <v>89</v>
      </c>
      <c r="C636" s="82"/>
      <c r="D636" s="81"/>
      <c r="E636" s="81"/>
      <c r="F636" s="81"/>
      <c r="G636" s="81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75"/>
      <c r="AD636" s="75"/>
      <c r="AE636" s="75"/>
      <c r="AF636" s="75"/>
      <c r="AG636" s="166"/>
      <c r="AH636" s="75"/>
      <c r="AI636" s="75"/>
      <c r="AJ636" s="75"/>
      <c r="AK636" s="75"/>
      <c r="AL636" s="75"/>
      <c r="AM636" s="75"/>
      <c r="AN636" s="75"/>
      <c r="AO636" s="284">
        <f t="shared" si="32"/>
        <v>0</v>
      </c>
      <c r="AP636" s="191"/>
    </row>
    <row r="637" spans="2:42" s="83" customFormat="1">
      <c r="B637" s="79" t="s">
        <v>89</v>
      </c>
      <c r="C637" s="82"/>
      <c r="D637" s="81"/>
      <c r="E637" s="81"/>
      <c r="F637" s="81"/>
      <c r="G637" s="81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75"/>
      <c r="AD637" s="75"/>
      <c r="AE637" s="75"/>
      <c r="AF637" s="75"/>
      <c r="AG637" s="166"/>
      <c r="AH637" s="75"/>
      <c r="AI637" s="75"/>
      <c r="AJ637" s="75"/>
      <c r="AK637" s="75"/>
      <c r="AL637" s="75"/>
      <c r="AM637" s="75"/>
      <c r="AN637" s="75"/>
      <c r="AO637" s="284">
        <f>SUM(I637:AN637)</f>
        <v>0</v>
      </c>
      <c r="AP637" s="191"/>
    </row>
    <row r="638" spans="2:42" s="83" customFormat="1">
      <c r="B638" s="79" t="s">
        <v>89</v>
      </c>
      <c r="C638" s="82"/>
      <c r="D638" s="81"/>
      <c r="E638" s="81"/>
      <c r="F638" s="81"/>
      <c r="G638" s="81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75"/>
      <c r="AD638" s="75"/>
      <c r="AE638" s="75"/>
      <c r="AF638" s="75"/>
      <c r="AG638" s="166"/>
      <c r="AH638" s="75"/>
      <c r="AI638" s="75"/>
      <c r="AJ638" s="75"/>
      <c r="AK638" s="75"/>
      <c r="AL638" s="75"/>
      <c r="AM638" s="75"/>
      <c r="AN638" s="75"/>
      <c r="AO638" s="284">
        <f t="shared" si="32"/>
        <v>0</v>
      </c>
      <c r="AP638" s="191"/>
    </row>
    <row r="639" spans="2:42" s="83" customFormat="1">
      <c r="B639" s="79" t="s">
        <v>89</v>
      </c>
      <c r="C639" s="82"/>
      <c r="D639" s="81"/>
      <c r="E639" s="81"/>
      <c r="F639" s="81"/>
      <c r="G639" s="81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75"/>
      <c r="AD639" s="75"/>
      <c r="AE639" s="75"/>
      <c r="AF639" s="75"/>
      <c r="AG639" s="75"/>
      <c r="AH639" s="75"/>
      <c r="AI639" s="75"/>
      <c r="AJ639" s="75"/>
      <c r="AK639" s="75"/>
      <c r="AL639" s="75"/>
      <c r="AM639" s="75"/>
      <c r="AN639" s="166"/>
      <c r="AO639" s="284">
        <f>SUM(I639:AN639)</f>
        <v>0</v>
      </c>
      <c r="AP639" s="191"/>
    </row>
    <row r="640" spans="2:42" s="83" customFormat="1" ht="15">
      <c r="B640" s="79" t="s">
        <v>89</v>
      </c>
      <c r="C640" s="82"/>
      <c r="D640" s="81"/>
      <c r="E640" s="81"/>
      <c r="F640" s="81"/>
      <c r="G640" s="81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75"/>
      <c r="AD640" s="75"/>
      <c r="AE640" s="75"/>
      <c r="AF640" s="75"/>
      <c r="AG640" s="75"/>
      <c r="AH640" s="75"/>
      <c r="AI640" s="75"/>
      <c r="AJ640" s="75"/>
      <c r="AK640" s="75"/>
      <c r="AL640" s="75"/>
      <c r="AM640" s="75"/>
      <c r="AN640" s="75"/>
      <c r="AO640" s="284">
        <f>SUM(I640:AN640)</f>
        <v>0</v>
      </c>
      <c r="AP640" s="191"/>
    </row>
    <row r="641" spans="2:44" s="83" customFormat="1" ht="15">
      <c r="B641" s="79" t="s">
        <v>89</v>
      </c>
      <c r="C641" s="82"/>
      <c r="D641" s="81"/>
      <c r="E641" s="81"/>
      <c r="F641" s="81"/>
      <c r="G641" s="81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75"/>
      <c r="AD641" s="75"/>
      <c r="AE641" s="75"/>
      <c r="AF641" s="75"/>
      <c r="AG641" s="75"/>
      <c r="AH641" s="75"/>
      <c r="AI641" s="75"/>
      <c r="AJ641" s="75"/>
      <c r="AK641" s="75"/>
      <c r="AL641" s="75"/>
      <c r="AM641" s="75"/>
      <c r="AN641" s="75"/>
      <c r="AO641" s="284">
        <f>SUM(I641:AN641)</f>
        <v>0</v>
      </c>
      <c r="AP641" s="191"/>
    </row>
    <row r="642" spans="2:44" s="83" customFormat="1" ht="15">
      <c r="B642" s="79" t="s">
        <v>89</v>
      </c>
      <c r="C642" s="82"/>
      <c r="D642" s="81"/>
      <c r="E642" s="81"/>
      <c r="F642" s="81"/>
      <c r="G642" s="81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75"/>
      <c r="AD642" s="75"/>
      <c r="AE642" s="75"/>
      <c r="AF642" s="75"/>
      <c r="AG642" s="75"/>
      <c r="AH642" s="75"/>
      <c r="AI642" s="75"/>
      <c r="AJ642" s="75"/>
      <c r="AK642" s="75"/>
      <c r="AL642" s="75"/>
      <c r="AM642" s="75"/>
      <c r="AN642" s="75"/>
      <c r="AO642" s="284">
        <f>SUM(I642:AN642)</f>
        <v>0</v>
      </c>
      <c r="AP642" s="191"/>
    </row>
    <row r="643" spans="2:44" s="83" customFormat="1" ht="16.5" thickBot="1">
      <c r="B643" s="79" t="s">
        <v>89</v>
      </c>
      <c r="C643" s="82"/>
      <c r="D643" s="81"/>
      <c r="E643" s="81"/>
      <c r="F643" s="81"/>
      <c r="G643" s="81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75"/>
      <c r="AD643" s="75"/>
      <c r="AE643" s="75"/>
      <c r="AF643" s="75"/>
      <c r="AG643" s="75"/>
      <c r="AH643" s="166"/>
      <c r="AI643" s="75"/>
      <c r="AJ643" s="75"/>
      <c r="AK643" s="75"/>
      <c r="AL643" s="75"/>
      <c r="AM643" s="75"/>
      <c r="AN643" s="75"/>
      <c r="AO643" s="284">
        <f>SUM(I643:AN643)</f>
        <v>0</v>
      </c>
      <c r="AP643" s="232"/>
    </row>
    <row r="644" spans="2:44" s="83" customFormat="1" thickTop="1" thickBot="1">
      <c r="B644" s="92" t="s">
        <v>71</v>
      </c>
      <c r="C644" s="578" t="s">
        <v>72</v>
      </c>
      <c r="D644" s="578"/>
      <c r="E644" s="578"/>
      <c r="F644" s="578"/>
      <c r="G644" s="578"/>
      <c r="H644" s="578"/>
      <c r="I644" s="93">
        <f>SUM(I429:I643)</f>
        <v>0</v>
      </c>
      <c r="J644" s="93">
        <f t="shared" ref="J644:AM644" si="33">SUM(J429:J643)</f>
        <v>0</v>
      </c>
      <c r="K644" s="93">
        <f>SUM(K429:K643)</f>
        <v>0</v>
      </c>
      <c r="L644" s="93">
        <f t="shared" si="33"/>
        <v>0</v>
      </c>
      <c r="M644" s="93">
        <f>SUM(M429:M643)</f>
        <v>0</v>
      </c>
      <c r="N644" s="93">
        <f t="shared" si="33"/>
        <v>0</v>
      </c>
      <c r="O644" s="93">
        <f t="shared" si="33"/>
        <v>0</v>
      </c>
      <c r="P644" s="93">
        <f>SUM(P429:P643)</f>
        <v>0</v>
      </c>
      <c r="Q644" s="93">
        <f>SUM(Q429:Q643)</f>
        <v>0</v>
      </c>
      <c r="R644" s="93">
        <f t="shared" si="33"/>
        <v>0</v>
      </c>
      <c r="S644" s="93">
        <f t="shared" si="33"/>
        <v>0</v>
      </c>
      <c r="T644" s="93">
        <f>SUM(T429:T643)</f>
        <v>0</v>
      </c>
      <c r="U644" s="93">
        <f t="shared" si="33"/>
        <v>0</v>
      </c>
      <c r="V644" s="93">
        <f>SUM(V429:V643)</f>
        <v>0</v>
      </c>
      <c r="W644" s="93">
        <f>SUM(W429:W643)</f>
        <v>0</v>
      </c>
      <c r="X644" s="93">
        <f t="shared" si="33"/>
        <v>0</v>
      </c>
      <c r="Y644" s="93">
        <f t="shared" si="33"/>
        <v>0</v>
      </c>
      <c r="Z644" s="93">
        <f t="shared" si="33"/>
        <v>0</v>
      </c>
      <c r="AA644" s="93">
        <f t="shared" si="33"/>
        <v>0</v>
      </c>
      <c r="AB644" s="93">
        <f>SUM(AB429:AB643)</f>
        <v>0</v>
      </c>
      <c r="AC644" s="93">
        <f t="shared" si="33"/>
        <v>0</v>
      </c>
      <c r="AD644" s="93">
        <f t="shared" si="33"/>
        <v>0</v>
      </c>
      <c r="AE644" s="93">
        <f t="shared" si="33"/>
        <v>0</v>
      </c>
      <c r="AF644" s="93">
        <f t="shared" si="33"/>
        <v>0</v>
      </c>
      <c r="AG644" s="93">
        <f t="shared" si="33"/>
        <v>0</v>
      </c>
      <c r="AH644" s="93">
        <f t="shared" si="33"/>
        <v>0</v>
      </c>
      <c r="AI644" s="93">
        <f>SUM(AI429:AI643)</f>
        <v>0</v>
      </c>
      <c r="AJ644" s="93">
        <f t="shared" si="33"/>
        <v>0</v>
      </c>
      <c r="AK644" s="93">
        <f t="shared" si="33"/>
        <v>0</v>
      </c>
      <c r="AL644" s="93">
        <f t="shared" si="33"/>
        <v>0</v>
      </c>
      <c r="AM644" s="93">
        <f t="shared" si="33"/>
        <v>0</v>
      </c>
      <c r="AN644" s="93">
        <f>SUM(AN429:AN643)</f>
        <v>0</v>
      </c>
      <c r="AO644" s="93">
        <f>SUM(AO429:AO643)</f>
        <v>0</v>
      </c>
      <c r="AP644" s="93">
        <f>SUM(AP429:AP643)</f>
        <v>0</v>
      </c>
    </row>
    <row r="645" spans="2:44" s="83" customFormat="1" thickTop="1" thickBot="1">
      <c r="B645" s="98" t="s">
        <v>71</v>
      </c>
      <c r="C645" s="573" t="s">
        <v>72</v>
      </c>
      <c r="D645" s="573"/>
      <c r="E645" s="573"/>
      <c r="F645" s="573"/>
      <c r="G645" s="573"/>
      <c r="H645" s="573"/>
      <c r="I645" s="99">
        <f>I644</f>
        <v>0</v>
      </c>
      <c r="J645" s="569">
        <f>+J644+K644</f>
        <v>0</v>
      </c>
      <c r="K645" s="570"/>
      <c r="L645" s="99">
        <f>L644</f>
        <v>0</v>
      </c>
      <c r="M645" s="99">
        <f>M644</f>
        <v>0</v>
      </c>
      <c r="N645" s="99">
        <f>N644</f>
        <v>0</v>
      </c>
      <c r="O645" s="99">
        <f>O644</f>
        <v>0</v>
      </c>
      <c r="P645" s="99">
        <f>P644</f>
        <v>0</v>
      </c>
      <c r="Q645" s="569">
        <f>+Q644+R644+S644+T644+U644+V644+W644+X644+Y644</f>
        <v>0</v>
      </c>
      <c r="R645" s="595"/>
      <c r="S645" s="595"/>
      <c r="T645" s="595"/>
      <c r="U645" s="595"/>
      <c r="V645" s="595"/>
      <c r="W645" s="595"/>
      <c r="X645" s="595"/>
      <c r="Y645" s="595"/>
      <c r="Z645" s="572">
        <f>+Z644+AA644+AB644</f>
        <v>0</v>
      </c>
      <c r="AA645" s="572"/>
      <c r="AB645" s="572"/>
      <c r="AC645" s="99">
        <f>AC644</f>
        <v>0</v>
      </c>
      <c r="AD645" s="99">
        <f>AD644</f>
        <v>0</v>
      </c>
      <c r="AE645" s="99">
        <f>AE644</f>
        <v>0</v>
      </c>
      <c r="AF645" s="572">
        <f>+AF644+AG644+AH644</f>
        <v>0</v>
      </c>
      <c r="AG645" s="572"/>
      <c r="AH645" s="572"/>
      <c r="AI645" s="99">
        <f t="shared" ref="AI645:AP645" si="34">AI644</f>
        <v>0</v>
      </c>
      <c r="AJ645" s="99">
        <f t="shared" si="34"/>
        <v>0</v>
      </c>
      <c r="AK645" s="99">
        <f t="shared" si="34"/>
        <v>0</v>
      </c>
      <c r="AL645" s="99">
        <f t="shared" si="34"/>
        <v>0</v>
      </c>
      <c r="AM645" s="99">
        <f t="shared" si="34"/>
        <v>0</v>
      </c>
      <c r="AN645" s="99">
        <f t="shared" si="34"/>
        <v>0</v>
      </c>
      <c r="AO645" s="99">
        <f t="shared" si="34"/>
        <v>0</v>
      </c>
      <c r="AP645" s="99">
        <f t="shared" si="34"/>
        <v>0</v>
      </c>
    </row>
    <row r="646" spans="2:44" s="83" customFormat="1" ht="17" thickTop="1" thickBot="1">
      <c r="B646" s="79" t="s">
        <v>75</v>
      </c>
      <c r="C646" s="499"/>
      <c r="D646" s="410"/>
      <c r="E646" s="410"/>
      <c r="F646" s="410"/>
      <c r="G646" s="410"/>
      <c r="H646" s="410"/>
      <c r="I646" s="410"/>
      <c r="J646" s="410"/>
      <c r="K646" s="410"/>
      <c r="L646" s="410"/>
      <c r="M646" s="410"/>
      <c r="N646" s="410"/>
      <c r="O646" s="410"/>
      <c r="P646" s="410"/>
      <c r="Q646" s="410"/>
      <c r="R646" s="410"/>
      <c r="S646" s="410"/>
      <c r="T646" s="410"/>
      <c r="U646" s="410"/>
      <c r="V646" s="410"/>
      <c r="W646" s="410"/>
      <c r="X646" s="410"/>
      <c r="Y646" s="410"/>
      <c r="Z646" s="410"/>
      <c r="AA646" s="410"/>
      <c r="AB646" s="410"/>
      <c r="AC646" s="504"/>
      <c r="AD646" s="504"/>
      <c r="AE646" s="504"/>
      <c r="AF646" s="504"/>
      <c r="AG646" s="504"/>
      <c r="AH646" s="504"/>
      <c r="AI646" s="504"/>
      <c r="AJ646" s="504"/>
      <c r="AK646" s="504"/>
      <c r="AL646" s="504"/>
      <c r="AM646" s="504"/>
      <c r="AN646" s="504"/>
      <c r="AO646" s="76">
        <f>SUM(I646:AN646)</f>
        <v>0</v>
      </c>
      <c r="AP646" s="495">
        <v>1</v>
      </c>
      <c r="AR646" s="409"/>
    </row>
    <row r="647" spans="2:44" s="83" customFormat="1" ht="16.5" thickTop="1">
      <c r="B647" s="79" t="s">
        <v>75</v>
      </c>
      <c r="C647" s="499"/>
      <c r="D647" s="410"/>
      <c r="E647" s="410"/>
      <c r="F647" s="500"/>
      <c r="G647" s="500"/>
      <c r="H647" s="410"/>
      <c r="I647" s="410"/>
      <c r="J647" s="410"/>
      <c r="K647" s="410"/>
      <c r="L647" s="410"/>
      <c r="M647" s="410"/>
      <c r="N647" s="410"/>
      <c r="O647" s="410"/>
      <c r="P647" s="410"/>
      <c r="Q647" s="410"/>
      <c r="R647" s="410"/>
      <c r="S647" s="410"/>
      <c r="T647" s="410"/>
      <c r="U647" s="410"/>
      <c r="V647" s="410"/>
      <c r="W647" s="410"/>
      <c r="X647" s="410"/>
      <c r="Y647" s="410"/>
      <c r="Z647" s="410"/>
      <c r="AA647" s="410"/>
      <c r="AB647" s="410"/>
      <c r="AC647" s="504"/>
      <c r="AD647" s="504"/>
      <c r="AE647" s="504"/>
      <c r="AF647" s="504"/>
      <c r="AG647" s="504"/>
      <c r="AH647" s="504"/>
      <c r="AI647" s="504"/>
      <c r="AJ647" s="504"/>
      <c r="AK647" s="504"/>
      <c r="AL647" s="504"/>
      <c r="AM647" s="504"/>
      <c r="AN647" s="504"/>
      <c r="AO647" s="76">
        <f>SUM(I647:AN647)</f>
        <v>0</v>
      </c>
      <c r="AP647" s="594">
        <f>SUM(AO647:AO651)</f>
        <v>0</v>
      </c>
      <c r="AR647" s="409"/>
    </row>
    <row r="648" spans="2:44" s="83" customFormat="1">
      <c r="B648" s="79" t="s">
        <v>75</v>
      </c>
      <c r="C648" s="499"/>
      <c r="D648" s="410"/>
      <c r="E648" s="410"/>
      <c r="F648" s="500"/>
      <c r="G648" s="500"/>
      <c r="H648" s="410"/>
      <c r="I648" s="410"/>
      <c r="J648" s="410"/>
      <c r="K648" s="410"/>
      <c r="L648" s="410"/>
      <c r="M648" s="410"/>
      <c r="N648" s="410"/>
      <c r="O648" s="410"/>
      <c r="P648" s="410"/>
      <c r="Q648" s="410"/>
      <c r="R648" s="410"/>
      <c r="S648" s="410"/>
      <c r="T648" s="410"/>
      <c r="U648" s="410"/>
      <c r="V648" s="410"/>
      <c r="W648" s="410"/>
      <c r="X648" s="410"/>
      <c r="Y648" s="410"/>
      <c r="Z648" s="410"/>
      <c r="AA648" s="410"/>
      <c r="AB648" s="410"/>
      <c r="AC648" s="504"/>
      <c r="AD648" s="504"/>
      <c r="AE648" s="504"/>
      <c r="AF648" s="504"/>
      <c r="AG648" s="504"/>
      <c r="AH648" s="504"/>
      <c r="AI648" s="504"/>
      <c r="AJ648" s="504"/>
      <c r="AK648" s="504"/>
      <c r="AL648" s="504"/>
      <c r="AM648" s="504"/>
      <c r="AN648" s="504"/>
      <c r="AO648" s="76">
        <f t="shared" ref="AO648:AO652" si="35">SUM(I648:AN648)</f>
        <v>0</v>
      </c>
      <c r="AP648" s="592"/>
      <c r="AR648" s="409"/>
    </row>
    <row r="649" spans="2:44" s="83" customFormat="1">
      <c r="B649" s="79" t="s">
        <v>75</v>
      </c>
      <c r="C649" s="499"/>
      <c r="D649" s="410"/>
      <c r="E649" s="410"/>
      <c r="F649" s="500"/>
      <c r="G649" s="500"/>
      <c r="H649" s="410"/>
      <c r="I649" s="410"/>
      <c r="J649" s="410"/>
      <c r="K649" s="410"/>
      <c r="L649" s="410"/>
      <c r="M649" s="410"/>
      <c r="N649" s="410"/>
      <c r="O649" s="410"/>
      <c r="P649" s="410"/>
      <c r="Q649" s="410"/>
      <c r="R649" s="410"/>
      <c r="S649" s="410"/>
      <c r="T649" s="410"/>
      <c r="U649" s="410"/>
      <c r="V649" s="410"/>
      <c r="W649" s="410"/>
      <c r="X649" s="410"/>
      <c r="Y649" s="410"/>
      <c r="Z649" s="410"/>
      <c r="AA649" s="410"/>
      <c r="AB649" s="410"/>
      <c r="AC649" s="504"/>
      <c r="AD649" s="504"/>
      <c r="AE649" s="504"/>
      <c r="AF649" s="504"/>
      <c r="AG649" s="504"/>
      <c r="AH649" s="504"/>
      <c r="AI649" s="504"/>
      <c r="AJ649" s="504"/>
      <c r="AK649" s="504"/>
      <c r="AL649" s="504"/>
      <c r="AM649" s="504"/>
      <c r="AN649" s="504"/>
      <c r="AO649" s="76">
        <f t="shared" si="35"/>
        <v>0</v>
      </c>
      <c r="AP649" s="592"/>
      <c r="AR649" s="409"/>
    </row>
    <row r="650" spans="2:44" s="83" customFormat="1">
      <c r="B650" s="79" t="s">
        <v>75</v>
      </c>
      <c r="C650" s="499"/>
      <c r="D650" s="410"/>
      <c r="E650" s="410"/>
      <c r="F650" s="500"/>
      <c r="G650" s="500"/>
      <c r="H650" s="410"/>
      <c r="I650" s="410"/>
      <c r="J650" s="410"/>
      <c r="K650" s="410"/>
      <c r="L650" s="410"/>
      <c r="M650" s="410"/>
      <c r="N650" s="410"/>
      <c r="O650" s="410"/>
      <c r="P650" s="410"/>
      <c r="Q650" s="410"/>
      <c r="R650" s="410"/>
      <c r="S650" s="410"/>
      <c r="T650" s="410"/>
      <c r="U650" s="410"/>
      <c r="V650" s="410"/>
      <c r="W650" s="410"/>
      <c r="X650" s="410"/>
      <c r="Y650" s="410"/>
      <c r="Z650" s="410"/>
      <c r="AA650" s="410"/>
      <c r="AB650" s="410"/>
      <c r="AC650" s="504"/>
      <c r="AD650" s="504"/>
      <c r="AE650" s="504"/>
      <c r="AF650" s="504"/>
      <c r="AG650" s="504"/>
      <c r="AH650" s="504"/>
      <c r="AI650" s="504"/>
      <c r="AJ650" s="504"/>
      <c r="AK650" s="504"/>
      <c r="AL650" s="504"/>
      <c r="AM650" s="504"/>
      <c r="AN650" s="504"/>
      <c r="AO650" s="76">
        <f t="shared" si="35"/>
        <v>0</v>
      </c>
      <c r="AP650" s="592"/>
      <c r="AR650" s="409"/>
    </row>
    <row r="651" spans="2:44" s="83" customFormat="1" ht="16.5" thickBot="1">
      <c r="B651" s="79" t="s">
        <v>75</v>
      </c>
      <c r="C651" s="499"/>
      <c r="D651" s="410"/>
      <c r="E651" s="410"/>
      <c r="F651" s="500"/>
      <c r="G651" s="500"/>
      <c r="H651" s="410"/>
      <c r="I651" s="410"/>
      <c r="J651" s="410"/>
      <c r="K651" s="410"/>
      <c r="L651" s="410"/>
      <c r="M651" s="410"/>
      <c r="N651" s="410"/>
      <c r="O651" s="410"/>
      <c r="P651" s="410"/>
      <c r="Q651" s="410"/>
      <c r="R651" s="410"/>
      <c r="S651" s="410"/>
      <c r="T651" s="410"/>
      <c r="U651" s="410"/>
      <c r="V651" s="410"/>
      <c r="W651" s="410"/>
      <c r="X651" s="410"/>
      <c r="Y651" s="410"/>
      <c r="Z651" s="410"/>
      <c r="AA651" s="410"/>
      <c r="AB651" s="410"/>
      <c r="AC651" s="504"/>
      <c r="AD651" s="504"/>
      <c r="AE651" s="504"/>
      <c r="AF651" s="504"/>
      <c r="AG651" s="504"/>
      <c r="AH651" s="504"/>
      <c r="AI651" s="504"/>
      <c r="AJ651" s="504"/>
      <c r="AK651" s="504"/>
      <c r="AL651" s="504"/>
      <c r="AM651" s="504"/>
      <c r="AN651" s="504"/>
      <c r="AO651" s="76">
        <f t="shared" si="35"/>
        <v>0</v>
      </c>
      <c r="AP651" s="593"/>
      <c r="AR651" s="409"/>
    </row>
    <row r="652" spans="2:44" s="83" customFormat="1">
      <c r="B652" s="79" t="s">
        <v>75</v>
      </c>
      <c r="C652" s="499"/>
      <c r="D652" s="410"/>
      <c r="E652" s="410"/>
      <c r="F652" s="500"/>
      <c r="G652" s="500"/>
      <c r="H652" s="410"/>
      <c r="I652" s="410"/>
      <c r="J652" s="410"/>
      <c r="K652" s="410"/>
      <c r="L652" s="410"/>
      <c r="M652" s="410"/>
      <c r="N652" s="410"/>
      <c r="O652" s="410"/>
      <c r="P652" s="410"/>
      <c r="Q652" s="410"/>
      <c r="R652" s="410"/>
      <c r="S652" s="410"/>
      <c r="T652" s="410"/>
      <c r="U652" s="410"/>
      <c r="V652" s="410"/>
      <c r="W652" s="410"/>
      <c r="X652" s="410"/>
      <c r="Y652" s="410"/>
      <c r="Z652" s="410"/>
      <c r="AA652" s="410"/>
      <c r="AB652" s="410"/>
      <c r="AC652" s="504"/>
      <c r="AD652" s="504"/>
      <c r="AE652" s="504"/>
      <c r="AF652" s="504"/>
      <c r="AG652" s="504"/>
      <c r="AH652" s="504"/>
      <c r="AI652" s="504"/>
      <c r="AJ652" s="504"/>
      <c r="AK652" s="504"/>
      <c r="AL652" s="504"/>
      <c r="AM652" s="504"/>
      <c r="AN652" s="504"/>
      <c r="AO652" s="76">
        <f t="shared" si="35"/>
        <v>0</v>
      </c>
      <c r="AP652" s="591">
        <f>SUM(AO652:AO657)</f>
        <v>0</v>
      </c>
      <c r="AR652" s="409"/>
    </row>
    <row r="653" spans="2:44" s="83" customFormat="1">
      <c r="B653" s="79" t="s">
        <v>75</v>
      </c>
      <c r="C653" s="499"/>
      <c r="D653" s="410"/>
      <c r="E653" s="410"/>
      <c r="F653" s="500"/>
      <c r="G653" s="500"/>
      <c r="H653" s="506"/>
      <c r="I653" s="410"/>
      <c r="J653" s="410"/>
      <c r="K653" s="410"/>
      <c r="L653" s="410"/>
      <c r="M653" s="410"/>
      <c r="N653" s="410"/>
      <c r="O653" s="410"/>
      <c r="P653" s="410"/>
      <c r="Q653" s="410"/>
      <c r="R653" s="410"/>
      <c r="S653" s="410"/>
      <c r="T653" s="410"/>
      <c r="U653" s="410"/>
      <c r="V653" s="410"/>
      <c r="W653" s="410"/>
      <c r="X653" s="410"/>
      <c r="Y653" s="410"/>
      <c r="Z653" s="410"/>
      <c r="AA653" s="410"/>
      <c r="AB653" s="410"/>
      <c r="AC653" s="504"/>
      <c r="AD653" s="504"/>
      <c r="AE653" s="504"/>
      <c r="AF653" s="504"/>
      <c r="AG653" s="504"/>
      <c r="AH653" s="505"/>
      <c r="AI653" s="504"/>
      <c r="AJ653" s="504"/>
      <c r="AK653" s="504"/>
      <c r="AL653" s="504"/>
      <c r="AM653" s="504"/>
      <c r="AN653" s="504"/>
      <c r="AO653" s="76">
        <f t="shared" ref="AO653:AO677" si="36">SUM(I653:AN653)</f>
        <v>0</v>
      </c>
      <c r="AP653" s="592"/>
      <c r="AR653" s="409"/>
    </row>
    <row r="654" spans="2:44" s="83" customFormat="1">
      <c r="B654" s="79" t="s">
        <v>75</v>
      </c>
      <c r="C654" s="499"/>
      <c r="D654" s="410"/>
      <c r="E654" s="410"/>
      <c r="F654" s="500"/>
      <c r="G654" s="500"/>
      <c r="H654" s="507"/>
      <c r="I654" s="410"/>
      <c r="J654" s="410"/>
      <c r="K654" s="410"/>
      <c r="L654" s="410"/>
      <c r="M654" s="410"/>
      <c r="N654" s="410"/>
      <c r="O654" s="410"/>
      <c r="P654" s="410"/>
      <c r="Q654" s="410"/>
      <c r="R654" s="410"/>
      <c r="S654" s="410"/>
      <c r="T654" s="410"/>
      <c r="U654" s="410"/>
      <c r="V654" s="410"/>
      <c r="W654" s="410"/>
      <c r="X654" s="410"/>
      <c r="Y654" s="410"/>
      <c r="Z654" s="410"/>
      <c r="AA654" s="410"/>
      <c r="AB654" s="410"/>
      <c r="AC654" s="504"/>
      <c r="AD654" s="504"/>
      <c r="AE654" s="504"/>
      <c r="AF654" s="504"/>
      <c r="AG654" s="504"/>
      <c r="AH654" s="505"/>
      <c r="AI654" s="504"/>
      <c r="AJ654" s="504"/>
      <c r="AK654" s="504"/>
      <c r="AL654" s="504"/>
      <c r="AM654" s="504"/>
      <c r="AN654" s="504"/>
      <c r="AO654" s="76">
        <f t="shared" si="36"/>
        <v>0</v>
      </c>
      <c r="AP654" s="592"/>
      <c r="AR654" s="409"/>
    </row>
    <row r="655" spans="2:44" s="83" customFormat="1">
      <c r="B655" s="79" t="s">
        <v>75</v>
      </c>
      <c r="C655" s="499"/>
      <c r="D655" s="410"/>
      <c r="E655" s="410"/>
      <c r="F655" s="500"/>
      <c r="G655" s="500"/>
      <c r="H655" s="507"/>
      <c r="I655" s="410"/>
      <c r="J655" s="410"/>
      <c r="K655" s="410"/>
      <c r="L655" s="410"/>
      <c r="M655" s="410"/>
      <c r="N655" s="410"/>
      <c r="O655" s="410"/>
      <c r="P655" s="410"/>
      <c r="Q655" s="410"/>
      <c r="R655" s="410"/>
      <c r="S655" s="410"/>
      <c r="T655" s="410"/>
      <c r="U655" s="410"/>
      <c r="V655" s="410"/>
      <c r="W655" s="410"/>
      <c r="X655" s="410"/>
      <c r="Y655" s="410"/>
      <c r="Z655" s="410"/>
      <c r="AA655" s="410"/>
      <c r="AB655" s="410"/>
      <c r="AC655" s="504"/>
      <c r="AD655" s="504"/>
      <c r="AE655" s="504"/>
      <c r="AF655" s="504"/>
      <c r="AG655" s="504"/>
      <c r="AH655" s="504"/>
      <c r="AI655" s="504"/>
      <c r="AJ655" s="504"/>
      <c r="AK655" s="504"/>
      <c r="AL655" s="505"/>
      <c r="AM655" s="505"/>
      <c r="AN655" s="504"/>
      <c r="AO655" s="76">
        <f t="shared" si="36"/>
        <v>0</v>
      </c>
      <c r="AP655" s="592"/>
      <c r="AR655" s="409"/>
    </row>
    <row r="656" spans="2:44" s="83" customFormat="1">
      <c r="B656" s="79" t="s">
        <v>75</v>
      </c>
      <c r="C656" s="499"/>
      <c r="D656" s="410"/>
      <c r="E656" s="410"/>
      <c r="F656" s="410"/>
      <c r="G656" s="410"/>
      <c r="H656" s="507"/>
      <c r="I656" s="410"/>
      <c r="J656" s="410"/>
      <c r="K656" s="410"/>
      <c r="L656" s="410"/>
      <c r="M656" s="410"/>
      <c r="N656" s="410"/>
      <c r="O656" s="410"/>
      <c r="P656" s="410"/>
      <c r="Q656" s="410"/>
      <c r="R656" s="410"/>
      <c r="S656" s="410"/>
      <c r="T656" s="410"/>
      <c r="U656" s="410"/>
      <c r="V656" s="410"/>
      <c r="W656" s="410"/>
      <c r="X656" s="410"/>
      <c r="Y656" s="410"/>
      <c r="Z656" s="410"/>
      <c r="AA656" s="410"/>
      <c r="AB656" s="410"/>
      <c r="AC656" s="504"/>
      <c r="AD656" s="504"/>
      <c r="AE656" s="504"/>
      <c r="AF656" s="504"/>
      <c r="AG656" s="504"/>
      <c r="AH656" s="504"/>
      <c r="AI656" s="504"/>
      <c r="AJ656" s="504"/>
      <c r="AK656" s="504"/>
      <c r="AL656" s="505"/>
      <c r="AM656" s="505"/>
      <c r="AN656" s="504"/>
      <c r="AO656" s="76">
        <f t="shared" si="36"/>
        <v>0</v>
      </c>
      <c r="AP656" s="592"/>
      <c r="AR656" s="409"/>
    </row>
    <row r="657" spans="2:44" s="83" customFormat="1" ht="16.5" thickBot="1">
      <c r="B657" s="79" t="s">
        <v>75</v>
      </c>
      <c r="C657" s="499"/>
      <c r="D657" s="410"/>
      <c r="E657" s="410"/>
      <c r="F657" s="410"/>
      <c r="G657" s="410"/>
      <c r="H657" s="507"/>
      <c r="I657" s="410"/>
      <c r="J657" s="410"/>
      <c r="K657" s="410"/>
      <c r="L657" s="410"/>
      <c r="M657" s="410"/>
      <c r="N657" s="410"/>
      <c r="O657" s="410"/>
      <c r="P657" s="410"/>
      <c r="Q657" s="410"/>
      <c r="R657" s="410"/>
      <c r="S657" s="410"/>
      <c r="T657" s="410"/>
      <c r="U657" s="410"/>
      <c r="V657" s="410"/>
      <c r="W657" s="410"/>
      <c r="X657" s="410"/>
      <c r="Y657" s="410"/>
      <c r="Z657" s="410"/>
      <c r="AA657" s="410"/>
      <c r="AB657" s="410"/>
      <c r="AC657" s="504"/>
      <c r="AD657" s="504"/>
      <c r="AE657" s="504"/>
      <c r="AF657" s="504"/>
      <c r="AG657" s="504"/>
      <c r="AH657" s="504"/>
      <c r="AI657" s="504"/>
      <c r="AJ657" s="504"/>
      <c r="AK657" s="504"/>
      <c r="AL657" s="504"/>
      <c r="AM657" s="504"/>
      <c r="AN657" s="504"/>
      <c r="AO657" s="76">
        <f t="shared" si="36"/>
        <v>0</v>
      </c>
      <c r="AP657" s="593"/>
      <c r="AR657" s="409"/>
    </row>
    <row r="658" spans="2:44" s="83" customFormat="1">
      <c r="B658" s="79" t="s">
        <v>75</v>
      </c>
      <c r="C658" s="499"/>
      <c r="D658" s="410"/>
      <c r="E658" s="410"/>
      <c r="F658" s="500"/>
      <c r="G658" s="501"/>
      <c r="H658" s="507"/>
      <c r="I658" s="410"/>
      <c r="J658" s="410"/>
      <c r="K658" s="410"/>
      <c r="L658" s="410"/>
      <c r="M658" s="410"/>
      <c r="N658" s="410"/>
      <c r="O658" s="410"/>
      <c r="P658" s="410"/>
      <c r="Q658" s="410"/>
      <c r="R658" s="410"/>
      <c r="S658" s="410"/>
      <c r="T658" s="410"/>
      <c r="U658" s="410"/>
      <c r="V658" s="410"/>
      <c r="W658" s="410"/>
      <c r="X658" s="410"/>
      <c r="Y658" s="410"/>
      <c r="Z658" s="410"/>
      <c r="AA658" s="410"/>
      <c r="AB658" s="410"/>
      <c r="AC658" s="504"/>
      <c r="AD658" s="504"/>
      <c r="AE658" s="504"/>
      <c r="AF658" s="504"/>
      <c r="AG658" s="504"/>
      <c r="AH658" s="504"/>
      <c r="AI658" s="504"/>
      <c r="AJ658" s="504"/>
      <c r="AK658" s="504"/>
      <c r="AL658" s="504"/>
      <c r="AM658" s="504"/>
      <c r="AN658" s="504"/>
      <c r="AO658" s="76">
        <f t="shared" si="36"/>
        <v>0</v>
      </c>
      <c r="AP658" s="591">
        <f>SUM(AO658:AO669)</f>
        <v>0</v>
      </c>
      <c r="AR658" s="409"/>
    </row>
    <row r="659" spans="2:44" s="83" customFormat="1">
      <c r="B659" s="79" t="s">
        <v>75</v>
      </c>
      <c r="C659" s="499"/>
      <c r="D659" s="410"/>
      <c r="E659" s="410"/>
      <c r="F659" s="410"/>
      <c r="G659" s="410"/>
      <c r="H659" s="507"/>
      <c r="I659" s="410"/>
      <c r="J659" s="410"/>
      <c r="K659" s="410"/>
      <c r="L659" s="410"/>
      <c r="M659" s="410"/>
      <c r="N659" s="410"/>
      <c r="O659" s="410"/>
      <c r="P659" s="410"/>
      <c r="Q659" s="410"/>
      <c r="R659" s="410"/>
      <c r="S659" s="410"/>
      <c r="T659" s="410"/>
      <c r="U659" s="410"/>
      <c r="V659" s="410"/>
      <c r="W659" s="410"/>
      <c r="X659" s="410"/>
      <c r="Y659" s="410"/>
      <c r="Z659" s="410"/>
      <c r="AA659" s="410"/>
      <c r="AB659" s="410"/>
      <c r="AC659" s="504"/>
      <c r="AD659" s="504"/>
      <c r="AE659" s="504"/>
      <c r="AF659" s="504"/>
      <c r="AG659" s="504"/>
      <c r="AH659" s="504"/>
      <c r="AI659" s="504"/>
      <c r="AJ659" s="504"/>
      <c r="AK659" s="504"/>
      <c r="AL659" s="504"/>
      <c r="AM659" s="504"/>
      <c r="AN659" s="504"/>
      <c r="AO659" s="76">
        <f t="shared" si="36"/>
        <v>0</v>
      </c>
      <c r="AP659" s="592"/>
      <c r="AR659" s="409"/>
    </row>
    <row r="660" spans="2:44" s="83" customFormat="1">
      <c r="B660" s="79" t="s">
        <v>75</v>
      </c>
      <c r="C660" s="499"/>
      <c r="D660" s="410"/>
      <c r="E660" s="410"/>
      <c r="F660" s="410"/>
      <c r="G660" s="410"/>
      <c r="H660" s="507"/>
      <c r="I660" s="410"/>
      <c r="J660" s="410"/>
      <c r="K660" s="410"/>
      <c r="L660" s="410"/>
      <c r="M660" s="410"/>
      <c r="N660" s="410"/>
      <c r="O660" s="410"/>
      <c r="P660" s="410"/>
      <c r="Q660" s="410"/>
      <c r="R660" s="410"/>
      <c r="S660" s="410"/>
      <c r="T660" s="410"/>
      <c r="U660" s="410"/>
      <c r="V660" s="410"/>
      <c r="W660" s="410"/>
      <c r="X660" s="410"/>
      <c r="Y660" s="410"/>
      <c r="Z660" s="410"/>
      <c r="AA660" s="410"/>
      <c r="AB660" s="410"/>
      <c r="AC660" s="504"/>
      <c r="AD660" s="504"/>
      <c r="AE660" s="504"/>
      <c r="AF660" s="504"/>
      <c r="AG660" s="504"/>
      <c r="AH660" s="504"/>
      <c r="AI660" s="504"/>
      <c r="AJ660" s="504"/>
      <c r="AK660" s="504"/>
      <c r="AL660" s="504"/>
      <c r="AM660" s="504"/>
      <c r="AN660" s="504"/>
      <c r="AO660" s="76">
        <f t="shared" si="36"/>
        <v>0</v>
      </c>
      <c r="AP660" s="592"/>
      <c r="AR660" s="409"/>
    </row>
    <row r="661" spans="2:44" s="83" customFormat="1">
      <c r="B661" s="79" t="s">
        <v>75</v>
      </c>
      <c r="C661" s="499"/>
      <c r="D661" s="410"/>
      <c r="E661" s="410"/>
      <c r="F661" s="410"/>
      <c r="G661" s="410"/>
      <c r="H661" s="507"/>
      <c r="I661" s="410"/>
      <c r="J661" s="410"/>
      <c r="K661" s="410"/>
      <c r="L661" s="410"/>
      <c r="M661" s="410"/>
      <c r="N661" s="410"/>
      <c r="O661" s="410"/>
      <c r="P661" s="410"/>
      <c r="Q661" s="410"/>
      <c r="R661" s="410"/>
      <c r="S661" s="410"/>
      <c r="T661" s="410"/>
      <c r="U661" s="410"/>
      <c r="V661" s="410"/>
      <c r="W661" s="410"/>
      <c r="X661" s="410"/>
      <c r="Y661" s="410"/>
      <c r="Z661" s="410"/>
      <c r="AA661" s="410"/>
      <c r="AB661" s="410"/>
      <c r="AC661" s="504"/>
      <c r="AD661" s="504"/>
      <c r="AE661" s="504"/>
      <c r="AF661" s="504"/>
      <c r="AG661" s="504"/>
      <c r="AH661" s="504"/>
      <c r="AI661" s="504"/>
      <c r="AJ661" s="504"/>
      <c r="AK661" s="504"/>
      <c r="AL661" s="504"/>
      <c r="AM661" s="504"/>
      <c r="AN661" s="504"/>
      <c r="AO661" s="76">
        <f t="shared" si="36"/>
        <v>0</v>
      </c>
      <c r="AP661" s="592"/>
      <c r="AR661" s="409"/>
    </row>
    <row r="662" spans="2:44" s="83" customFormat="1">
      <c r="B662" s="79" t="s">
        <v>75</v>
      </c>
      <c r="C662" s="499"/>
      <c r="D662" s="410"/>
      <c r="E662" s="410"/>
      <c r="F662" s="410"/>
      <c r="G662" s="410"/>
      <c r="H662" s="507"/>
      <c r="I662" s="410"/>
      <c r="J662" s="410"/>
      <c r="K662" s="410"/>
      <c r="L662" s="410"/>
      <c r="M662" s="410"/>
      <c r="N662" s="410"/>
      <c r="O662" s="410"/>
      <c r="P662" s="410"/>
      <c r="Q662" s="410"/>
      <c r="R662" s="410"/>
      <c r="S662" s="410"/>
      <c r="T662" s="410"/>
      <c r="U662" s="410"/>
      <c r="V662" s="410"/>
      <c r="W662" s="410"/>
      <c r="X662" s="410"/>
      <c r="Y662" s="410"/>
      <c r="Z662" s="410"/>
      <c r="AA662" s="410"/>
      <c r="AB662" s="410"/>
      <c r="AC662" s="504"/>
      <c r="AD662" s="504"/>
      <c r="AE662" s="504"/>
      <c r="AF662" s="504"/>
      <c r="AG662" s="504"/>
      <c r="AH662" s="504"/>
      <c r="AI662" s="504"/>
      <c r="AJ662" s="504"/>
      <c r="AK662" s="504"/>
      <c r="AL662" s="504"/>
      <c r="AM662" s="504"/>
      <c r="AN662" s="504"/>
      <c r="AO662" s="76">
        <f t="shared" si="36"/>
        <v>0</v>
      </c>
      <c r="AP662" s="592"/>
      <c r="AR662" s="409"/>
    </row>
    <row r="663" spans="2:44" s="83" customFormat="1">
      <c r="B663" s="79" t="s">
        <v>75</v>
      </c>
      <c r="C663" s="499"/>
      <c r="D663" s="410"/>
      <c r="E663" s="410"/>
      <c r="F663" s="500"/>
      <c r="G663" s="500"/>
      <c r="H663" s="507"/>
      <c r="I663" s="410"/>
      <c r="J663" s="410"/>
      <c r="K663" s="410"/>
      <c r="L663" s="410"/>
      <c r="M663" s="410"/>
      <c r="N663" s="410"/>
      <c r="O663" s="410"/>
      <c r="P663" s="410"/>
      <c r="Q663" s="410"/>
      <c r="R663" s="410"/>
      <c r="S663" s="410"/>
      <c r="T663" s="410"/>
      <c r="U663" s="410"/>
      <c r="V663" s="410"/>
      <c r="W663" s="410"/>
      <c r="X663" s="410"/>
      <c r="Y663" s="410"/>
      <c r="Z663" s="410"/>
      <c r="AA663" s="410"/>
      <c r="AB663" s="410"/>
      <c r="AC663" s="504"/>
      <c r="AD663" s="504"/>
      <c r="AE663" s="504"/>
      <c r="AF663" s="504"/>
      <c r="AG663" s="505"/>
      <c r="AH663" s="504"/>
      <c r="AI663" s="508"/>
      <c r="AJ663" s="504"/>
      <c r="AK663" s="504"/>
      <c r="AL663" s="504"/>
      <c r="AM663" s="504"/>
      <c r="AN663" s="504"/>
      <c r="AO663" s="76">
        <f t="shared" si="36"/>
        <v>0</v>
      </c>
      <c r="AP663" s="592"/>
      <c r="AR663" s="409"/>
    </row>
    <row r="664" spans="2:44" s="83" customFormat="1">
      <c r="B664" s="79" t="s">
        <v>75</v>
      </c>
      <c r="C664" s="499"/>
      <c r="D664" s="410"/>
      <c r="E664" s="410"/>
      <c r="F664" s="500"/>
      <c r="G664" s="500"/>
      <c r="H664" s="507"/>
      <c r="I664" s="410"/>
      <c r="J664" s="410"/>
      <c r="K664" s="410"/>
      <c r="L664" s="410"/>
      <c r="M664" s="410"/>
      <c r="N664" s="410"/>
      <c r="O664" s="410"/>
      <c r="P664" s="410"/>
      <c r="Q664" s="410"/>
      <c r="R664" s="410"/>
      <c r="S664" s="410"/>
      <c r="T664" s="410"/>
      <c r="U664" s="410"/>
      <c r="V664" s="410"/>
      <c r="W664" s="410"/>
      <c r="X664" s="410"/>
      <c r="Y664" s="410"/>
      <c r="Z664" s="410"/>
      <c r="AA664" s="410"/>
      <c r="AB664" s="410"/>
      <c r="AC664" s="504"/>
      <c r="AD664" s="504"/>
      <c r="AE664" s="504"/>
      <c r="AF664" s="504"/>
      <c r="AG664" s="505"/>
      <c r="AH664" s="504"/>
      <c r="AI664" s="504"/>
      <c r="AJ664" s="504"/>
      <c r="AK664" s="504"/>
      <c r="AL664" s="504"/>
      <c r="AM664" s="504"/>
      <c r="AN664" s="504"/>
      <c r="AO664" s="76">
        <f t="shared" si="36"/>
        <v>0</v>
      </c>
      <c r="AP664" s="592"/>
      <c r="AR664" s="409"/>
    </row>
    <row r="665" spans="2:44" s="83" customFormat="1">
      <c r="B665" s="79" t="s">
        <v>75</v>
      </c>
      <c r="C665" s="499"/>
      <c r="D665" s="410"/>
      <c r="E665" s="410"/>
      <c r="F665" s="500"/>
      <c r="G665" s="500"/>
      <c r="H665" s="507"/>
      <c r="I665" s="410"/>
      <c r="J665" s="410"/>
      <c r="K665" s="410"/>
      <c r="L665" s="410"/>
      <c r="M665" s="410"/>
      <c r="N665" s="410"/>
      <c r="O665" s="410"/>
      <c r="P665" s="410"/>
      <c r="Q665" s="410"/>
      <c r="R665" s="410"/>
      <c r="S665" s="410"/>
      <c r="T665" s="410"/>
      <c r="U665" s="410"/>
      <c r="V665" s="410"/>
      <c r="W665" s="410"/>
      <c r="X665" s="410"/>
      <c r="Y665" s="410"/>
      <c r="Z665" s="410"/>
      <c r="AA665" s="410"/>
      <c r="AB665" s="410"/>
      <c r="AC665" s="504"/>
      <c r="AD665" s="504"/>
      <c r="AE665" s="504"/>
      <c r="AF665" s="504"/>
      <c r="AG665" s="505"/>
      <c r="AH665" s="504"/>
      <c r="AI665" s="504"/>
      <c r="AJ665" s="504"/>
      <c r="AK665" s="504"/>
      <c r="AL665" s="504"/>
      <c r="AM665" s="504"/>
      <c r="AN665" s="504"/>
      <c r="AO665" s="76">
        <f t="shared" si="36"/>
        <v>0</v>
      </c>
      <c r="AP665" s="592"/>
      <c r="AR665" s="409"/>
    </row>
    <row r="666" spans="2:44" s="83" customFormat="1">
      <c r="B666" s="79" t="s">
        <v>75</v>
      </c>
      <c r="C666" s="499"/>
      <c r="D666" s="410"/>
      <c r="E666" s="410"/>
      <c r="F666" s="500"/>
      <c r="G666" s="500"/>
      <c r="H666" s="507"/>
      <c r="I666" s="410"/>
      <c r="J666" s="410"/>
      <c r="K666" s="410"/>
      <c r="L666" s="410"/>
      <c r="M666" s="410"/>
      <c r="N666" s="410"/>
      <c r="O666" s="410"/>
      <c r="P666" s="410"/>
      <c r="Q666" s="410"/>
      <c r="R666" s="410"/>
      <c r="S666" s="410"/>
      <c r="T666" s="410"/>
      <c r="U666" s="410"/>
      <c r="V666" s="410"/>
      <c r="W666" s="410"/>
      <c r="X666" s="410"/>
      <c r="Y666" s="410"/>
      <c r="Z666" s="410"/>
      <c r="AA666" s="410"/>
      <c r="AB666" s="410"/>
      <c r="AC666" s="504"/>
      <c r="AD666" s="504"/>
      <c r="AE666" s="504"/>
      <c r="AF666" s="504"/>
      <c r="AG666" s="505"/>
      <c r="AH666" s="504"/>
      <c r="AI666" s="504"/>
      <c r="AJ666" s="504"/>
      <c r="AK666" s="504"/>
      <c r="AL666" s="504"/>
      <c r="AM666" s="504"/>
      <c r="AN666" s="504"/>
      <c r="AO666" s="76">
        <f t="shared" si="36"/>
        <v>0</v>
      </c>
      <c r="AP666" s="592"/>
      <c r="AR666" s="409"/>
    </row>
    <row r="667" spans="2:44" s="83" customFormat="1">
      <c r="B667" s="79" t="s">
        <v>75</v>
      </c>
      <c r="C667" s="499"/>
      <c r="D667" s="410"/>
      <c r="E667" s="410"/>
      <c r="F667" s="500"/>
      <c r="G667" s="500"/>
      <c r="H667" s="507"/>
      <c r="I667" s="410"/>
      <c r="J667" s="410"/>
      <c r="K667" s="410"/>
      <c r="L667" s="410"/>
      <c r="M667" s="410"/>
      <c r="N667" s="410"/>
      <c r="O667" s="410"/>
      <c r="P667" s="410"/>
      <c r="Q667" s="410"/>
      <c r="R667" s="410"/>
      <c r="S667" s="410"/>
      <c r="T667" s="410"/>
      <c r="U667" s="410"/>
      <c r="V667" s="410"/>
      <c r="W667" s="410"/>
      <c r="X667" s="410"/>
      <c r="Y667" s="410"/>
      <c r="Z667" s="410"/>
      <c r="AA667" s="410"/>
      <c r="AB667" s="410"/>
      <c r="AC667" s="504"/>
      <c r="AD667" s="504"/>
      <c r="AE667" s="504"/>
      <c r="AF667" s="504"/>
      <c r="AG667" s="505"/>
      <c r="AH667" s="504"/>
      <c r="AI667" s="504"/>
      <c r="AJ667" s="504"/>
      <c r="AK667" s="504"/>
      <c r="AL667" s="504"/>
      <c r="AM667" s="504"/>
      <c r="AN667" s="504"/>
      <c r="AO667" s="76">
        <f t="shared" si="36"/>
        <v>0</v>
      </c>
      <c r="AP667" s="592"/>
      <c r="AR667" s="409"/>
    </row>
    <row r="668" spans="2:44" s="83" customFormat="1">
      <c r="B668" s="79" t="s">
        <v>75</v>
      </c>
      <c r="C668" s="499"/>
      <c r="D668" s="410"/>
      <c r="E668" s="410"/>
      <c r="F668" s="500"/>
      <c r="G668" s="500"/>
      <c r="H668" s="507"/>
      <c r="I668" s="410"/>
      <c r="J668" s="410"/>
      <c r="K668" s="410"/>
      <c r="L668" s="410"/>
      <c r="M668" s="410"/>
      <c r="N668" s="410"/>
      <c r="O668" s="410"/>
      <c r="P668" s="410"/>
      <c r="Q668" s="410"/>
      <c r="R668" s="410"/>
      <c r="S668" s="410"/>
      <c r="T668" s="410"/>
      <c r="U668" s="410"/>
      <c r="V668" s="410"/>
      <c r="W668" s="410"/>
      <c r="X668" s="410"/>
      <c r="Y668" s="410"/>
      <c r="Z668" s="410"/>
      <c r="AA668" s="410"/>
      <c r="AB668" s="410"/>
      <c r="AC668" s="504"/>
      <c r="AD668" s="504"/>
      <c r="AE668" s="504"/>
      <c r="AF668" s="504"/>
      <c r="AG668" s="505"/>
      <c r="AH668" s="504"/>
      <c r="AI668" s="504"/>
      <c r="AJ668" s="504"/>
      <c r="AK668" s="504"/>
      <c r="AL668" s="504"/>
      <c r="AM668" s="504"/>
      <c r="AN668" s="504"/>
      <c r="AO668" s="76">
        <f t="shared" si="36"/>
        <v>0</v>
      </c>
      <c r="AP668" s="592"/>
      <c r="AR668" s="409"/>
    </row>
    <row r="669" spans="2:44" s="83" customFormat="1" ht="16.5" thickBot="1">
      <c r="B669" s="79" t="s">
        <v>75</v>
      </c>
      <c r="C669" s="499"/>
      <c r="D669" s="410"/>
      <c r="E669" s="410"/>
      <c r="F669" s="500"/>
      <c r="G669" s="500"/>
      <c r="H669" s="507"/>
      <c r="I669" s="410"/>
      <c r="J669" s="410"/>
      <c r="K669" s="410"/>
      <c r="L669" s="410"/>
      <c r="M669" s="410"/>
      <c r="N669" s="410"/>
      <c r="O669" s="410"/>
      <c r="P669" s="410"/>
      <c r="Q669" s="410"/>
      <c r="R669" s="410"/>
      <c r="S669" s="410"/>
      <c r="T669" s="410"/>
      <c r="U669" s="410"/>
      <c r="V669" s="410"/>
      <c r="W669" s="410"/>
      <c r="X669" s="410"/>
      <c r="Y669" s="410"/>
      <c r="Z669" s="410"/>
      <c r="AA669" s="410"/>
      <c r="AB669" s="410"/>
      <c r="AC669" s="504"/>
      <c r="AD669" s="504"/>
      <c r="AE669" s="504"/>
      <c r="AF669" s="504"/>
      <c r="AG669" s="505"/>
      <c r="AH669" s="504"/>
      <c r="AI669" s="504"/>
      <c r="AJ669" s="504"/>
      <c r="AK669" s="504"/>
      <c r="AL669" s="504"/>
      <c r="AM669" s="504"/>
      <c r="AN669" s="504"/>
      <c r="AO669" s="76">
        <f t="shared" si="36"/>
        <v>0</v>
      </c>
      <c r="AP669" s="593"/>
      <c r="AR669" s="409"/>
    </row>
    <row r="670" spans="2:44" s="83" customFormat="1">
      <c r="B670" s="79" t="s">
        <v>75</v>
      </c>
      <c r="C670" s="499"/>
      <c r="D670" s="410"/>
      <c r="E670" s="410"/>
      <c r="F670" s="500"/>
      <c r="G670" s="500"/>
      <c r="H670" s="507"/>
      <c r="I670" s="410"/>
      <c r="J670" s="410"/>
      <c r="K670" s="410"/>
      <c r="L670" s="410"/>
      <c r="M670" s="410"/>
      <c r="N670" s="410"/>
      <c r="O670" s="410"/>
      <c r="P670" s="410"/>
      <c r="Q670" s="410"/>
      <c r="R670" s="410"/>
      <c r="S670" s="410"/>
      <c r="T670" s="410"/>
      <c r="U670" s="410"/>
      <c r="V670" s="410"/>
      <c r="W670" s="410"/>
      <c r="X670" s="410"/>
      <c r="Y670" s="410"/>
      <c r="Z670" s="410"/>
      <c r="AA670" s="410"/>
      <c r="AB670" s="410"/>
      <c r="AC670" s="504"/>
      <c r="AD670" s="504"/>
      <c r="AE670" s="504"/>
      <c r="AF670" s="504"/>
      <c r="AG670" s="505"/>
      <c r="AH670" s="504"/>
      <c r="AI670" s="504"/>
      <c r="AJ670" s="504"/>
      <c r="AK670" s="504"/>
      <c r="AL670" s="504"/>
      <c r="AM670" s="504"/>
      <c r="AN670" s="504"/>
      <c r="AO670" s="76">
        <f t="shared" si="36"/>
        <v>0</v>
      </c>
      <c r="AP670" s="591">
        <f>SUM(AO670:AO675)</f>
        <v>0</v>
      </c>
      <c r="AR670" s="409"/>
    </row>
    <row r="671" spans="2:44" s="83" customFormat="1">
      <c r="B671" s="79" t="s">
        <v>75</v>
      </c>
      <c r="C671" s="499"/>
      <c r="D671" s="410"/>
      <c r="E671" s="410"/>
      <c r="F671" s="500"/>
      <c r="G671" s="500"/>
      <c r="H671" s="507"/>
      <c r="I671" s="410"/>
      <c r="J671" s="410"/>
      <c r="K671" s="410"/>
      <c r="L671" s="410"/>
      <c r="M671" s="410"/>
      <c r="N671" s="410"/>
      <c r="O671" s="410"/>
      <c r="P671" s="410"/>
      <c r="Q671" s="410"/>
      <c r="R671" s="410"/>
      <c r="S671" s="410"/>
      <c r="T671" s="410"/>
      <c r="U671" s="410"/>
      <c r="V671" s="410"/>
      <c r="W671" s="410"/>
      <c r="X671" s="410"/>
      <c r="Y671" s="410"/>
      <c r="Z671" s="410"/>
      <c r="AA671" s="410"/>
      <c r="AB671" s="410"/>
      <c r="AC671" s="504"/>
      <c r="AD671" s="504"/>
      <c r="AE671" s="504"/>
      <c r="AF671" s="504"/>
      <c r="AG671" s="505"/>
      <c r="AH671" s="504"/>
      <c r="AI671" s="504"/>
      <c r="AJ671" s="504"/>
      <c r="AK671" s="504"/>
      <c r="AL671" s="504"/>
      <c r="AM671" s="504"/>
      <c r="AN671" s="504"/>
      <c r="AO671" s="76">
        <f t="shared" si="36"/>
        <v>0</v>
      </c>
      <c r="AP671" s="592"/>
      <c r="AR671" s="409"/>
    </row>
    <row r="672" spans="2:44" s="83" customFormat="1">
      <c r="B672" s="79" t="s">
        <v>75</v>
      </c>
      <c r="C672" s="499"/>
      <c r="D672" s="410"/>
      <c r="E672" s="410"/>
      <c r="F672" s="500"/>
      <c r="G672" s="500"/>
      <c r="H672" s="507"/>
      <c r="I672" s="410"/>
      <c r="J672" s="410"/>
      <c r="K672" s="410"/>
      <c r="L672" s="410"/>
      <c r="M672" s="410"/>
      <c r="N672" s="410"/>
      <c r="O672" s="410"/>
      <c r="P672" s="410"/>
      <c r="Q672" s="410"/>
      <c r="R672" s="410"/>
      <c r="S672" s="410"/>
      <c r="T672" s="410"/>
      <c r="U672" s="410"/>
      <c r="V672" s="410"/>
      <c r="W672" s="410"/>
      <c r="X672" s="410"/>
      <c r="Y672" s="410"/>
      <c r="Z672" s="410"/>
      <c r="AA672" s="410"/>
      <c r="AB672" s="410"/>
      <c r="AC672" s="504"/>
      <c r="AD672" s="504"/>
      <c r="AE672" s="504"/>
      <c r="AF672" s="504"/>
      <c r="AG672" s="504"/>
      <c r="AH672" s="504"/>
      <c r="AI672" s="504"/>
      <c r="AJ672" s="504"/>
      <c r="AK672" s="504"/>
      <c r="AL672" s="504"/>
      <c r="AM672" s="504"/>
      <c r="AN672" s="504"/>
      <c r="AO672" s="76">
        <f t="shared" si="36"/>
        <v>0</v>
      </c>
      <c r="AP672" s="592"/>
      <c r="AR672" s="409"/>
    </row>
    <row r="673" spans="2:44" s="83" customFormat="1">
      <c r="B673" s="79" t="s">
        <v>75</v>
      </c>
      <c r="C673" s="499"/>
      <c r="D673" s="410"/>
      <c r="E673" s="410"/>
      <c r="F673" s="500"/>
      <c r="G673" s="500"/>
      <c r="H673" s="507"/>
      <c r="I673" s="410"/>
      <c r="J673" s="410"/>
      <c r="K673" s="410"/>
      <c r="L673" s="410"/>
      <c r="M673" s="410"/>
      <c r="N673" s="410"/>
      <c r="O673" s="410"/>
      <c r="P673" s="410"/>
      <c r="Q673" s="410"/>
      <c r="R673" s="410"/>
      <c r="S673" s="410"/>
      <c r="T673" s="410"/>
      <c r="U673" s="410"/>
      <c r="V673" s="410"/>
      <c r="W673" s="410"/>
      <c r="X673" s="410"/>
      <c r="Y673" s="410"/>
      <c r="Z673" s="410"/>
      <c r="AA673" s="410"/>
      <c r="AB673" s="410"/>
      <c r="AC673" s="504"/>
      <c r="AD673" s="504"/>
      <c r="AE673" s="504"/>
      <c r="AF673" s="504"/>
      <c r="AG673" s="504"/>
      <c r="AH673" s="504"/>
      <c r="AI673" s="504"/>
      <c r="AJ673" s="504"/>
      <c r="AK673" s="504"/>
      <c r="AL673" s="504"/>
      <c r="AM673" s="504"/>
      <c r="AN673" s="505"/>
      <c r="AO673" s="76">
        <f t="shared" si="36"/>
        <v>0</v>
      </c>
      <c r="AP673" s="592"/>
      <c r="AR673" s="409"/>
    </row>
    <row r="674" spans="2:44" s="83" customFormat="1">
      <c r="B674" s="79" t="s">
        <v>75</v>
      </c>
      <c r="C674" s="499"/>
      <c r="D674" s="410"/>
      <c r="E674" s="410"/>
      <c r="F674" s="410"/>
      <c r="G674" s="410"/>
      <c r="H674" s="507"/>
      <c r="I674" s="410"/>
      <c r="J674" s="410"/>
      <c r="K674" s="410"/>
      <c r="L674" s="410"/>
      <c r="M674" s="410"/>
      <c r="N674" s="410"/>
      <c r="O674" s="410"/>
      <c r="P674" s="410"/>
      <c r="Q674" s="410"/>
      <c r="R674" s="410"/>
      <c r="S674" s="410"/>
      <c r="T674" s="410"/>
      <c r="U674" s="410"/>
      <c r="V674" s="410"/>
      <c r="W674" s="410"/>
      <c r="X674" s="410"/>
      <c r="Y674" s="410"/>
      <c r="Z674" s="410"/>
      <c r="AA674" s="410"/>
      <c r="AB674" s="410"/>
      <c r="AC674" s="504"/>
      <c r="AD674" s="504"/>
      <c r="AE674" s="504"/>
      <c r="AF674" s="504"/>
      <c r="AG674" s="504"/>
      <c r="AH674" s="504"/>
      <c r="AI674" s="504"/>
      <c r="AJ674" s="504"/>
      <c r="AK674" s="504"/>
      <c r="AL674" s="504"/>
      <c r="AM674" s="504"/>
      <c r="AN674" s="505"/>
      <c r="AO674" s="76">
        <f t="shared" si="36"/>
        <v>0</v>
      </c>
      <c r="AP674" s="592"/>
      <c r="AR674" s="409"/>
    </row>
    <row r="675" spans="2:44" s="83" customFormat="1" ht="16.5" thickBot="1">
      <c r="B675" s="79" t="s">
        <v>75</v>
      </c>
      <c r="C675" s="499"/>
      <c r="D675" s="410"/>
      <c r="E675" s="410"/>
      <c r="F675" s="410"/>
      <c r="G675" s="410"/>
      <c r="H675" s="507"/>
      <c r="I675" s="410"/>
      <c r="J675" s="410"/>
      <c r="K675" s="410"/>
      <c r="L675" s="410"/>
      <c r="M675" s="410"/>
      <c r="N675" s="410"/>
      <c r="O675" s="410"/>
      <c r="P675" s="410"/>
      <c r="Q675" s="410"/>
      <c r="R675" s="410"/>
      <c r="S675" s="410"/>
      <c r="T675" s="410"/>
      <c r="U675" s="410"/>
      <c r="V675" s="410"/>
      <c r="W675" s="410"/>
      <c r="X675" s="410"/>
      <c r="Y675" s="410"/>
      <c r="Z675" s="410"/>
      <c r="AA675" s="410"/>
      <c r="AB675" s="410"/>
      <c r="AC675" s="504"/>
      <c r="AD675" s="505"/>
      <c r="AE675" s="504"/>
      <c r="AF675" s="504"/>
      <c r="AG675" s="504"/>
      <c r="AH675" s="504"/>
      <c r="AI675" s="504"/>
      <c r="AJ675" s="504"/>
      <c r="AK675" s="505"/>
      <c r="AL675" s="505"/>
      <c r="AM675" s="505"/>
      <c r="AN675" s="505"/>
      <c r="AO675" s="76">
        <f t="shared" si="36"/>
        <v>0</v>
      </c>
      <c r="AP675" s="593"/>
      <c r="AR675" s="409"/>
    </row>
    <row r="676" spans="2:44" s="83" customFormat="1">
      <c r="B676" s="79" t="s">
        <v>75</v>
      </c>
      <c r="C676" s="79"/>
      <c r="D676" s="80"/>
      <c r="E676" s="212"/>
      <c r="F676" s="212"/>
      <c r="G676" s="212"/>
      <c r="H676" s="21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75"/>
      <c r="AD676" s="75"/>
      <c r="AE676" s="75"/>
      <c r="AF676" s="75"/>
      <c r="AG676" s="75"/>
      <c r="AH676" s="75"/>
      <c r="AI676" s="75"/>
      <c r="AJ676" s="75"/>
      <c r="AK676" s="166"/>
      <c r="AL676" s="166"/>
      <c r="AM676" s="166"/>
      <c r="AN676" s="166"/>
      <c r="AO676" s="76">
        <f>SUM(I676:AN676)</f>
        <v>0</v>
      </c>
      <c r="AP676" s="489"/>
      <c r="AR676" s="409"/>
    </row>
    <row r="677" spans="2:44" s="83" customFormat="1">
      <c r="B677" s="79" t="s">
        <v>75</v>
      </c>
      <c r="C677" s="79"/>
      <c r="D677" s="80"/>
      <c r="E677" s="212"/>
      <c r="F677" s="212"/>
      <c r="G677" s="212"/>
      <c r="H677" s="21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75"/>
      <c r="AD677" s="75"/>
      <c r="AE677" s="75"/>
      <c r="AF677" s="75"/>
      <c r="AG677" s="75"/>
      <c r="AH677" s="75"/>
      <c r="AI677" s="75"/>
      <c r="AJ677" s="75"/>
      <c r="AK677" s="75"/>
      <c r="AL677" s="75"/>
      <c r="AM677" s="75"/>
      <c r="AN677" s="166"/>
      <c r="AO677" s="76">
        <f t="shared" si="36"/>
        <v>0</v>
      </c>
      <c r="AP677" s="489"/>
      <c r="AR677" s="409"/>
    </row>
    <row r="678" spans="2:44" s="83" customFormat="1">
      <c r="B678" s="79" t="s">
        <v>75</v>
      </c>
      <c r="C678" s="79"/>
      <c r="D678" s="80"/>
      <c r="E678" s="212"/>
      <c r="F678" s="212"/>
      <c r="G678" s="212"/>
      <c r="H678" s="21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75"/>
      <c r="AD678" s="75"/>
      <c r="AE678" s="75"/>
      <c r="AF678" s="75"/>
      <c r="AG678" s="75"/>
      <c r="AH678" s="75"/>
      <c r="AI678" s="75"/>
      <c r="AJ678" s="75"/>
      <c r="AK678" s="75"/>
      <c r="AL678" s="75"/>
      <c r="AM678" s="75"/>
      <c r="AN678" s="166"/>
      <c r="AO678" s="76">
        <f t="shared" ref="AO678:AO709" si="37">SUM(I678:AN678)</f>
        <v>0</v>
      </c>
      <c r="AP678" s="489"/>
      <c r="AR678" s="409"/>
    </row>
    <row r="679" spans="2:44" s="83" customFormat="1">
      <c r="B679" s="79" t="s">
        <v>75</v>
      </c>
      <c r="C679" s="79"/>
      <c r="D679" s="80"/>
      <c r="E679" s="212"/>
      <c r="F679" s="212"/>
      <c r="G679" s="212"/>
      <c r="H679" s="21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75"/>
      <c r="AD679" s="75"/>
      <c r="AE679" s="75"/>
      <c r="AF679" s="75"/>
      <c r="AG679" s="166"/>
      <c r="AH679" s="75"/>
      <c r="AI679" s="75"/>
      <c r="AJ679" s="75"/>
      <c r="AK679" s="75"/>
      <c r="AL679" s="75"/>
      <c r="AM679" s="75"/>
      <c r="AN679" s="75"/>
      <c r="AO679" s="76">
        <f t="shared" si="37"/>
        <v>0</v>
      </c>
      <c r="AP679" s="489"/>
      <c r="AR679" s="409"/>
    </row>
    <row r="680" spans="2:44" s="83" customFormat="1">
      <c r="B680" s="79" t="s">
        <v>75</v>
      </c>
      <c r="C680" s="79"/>
      <c r="D680" s="80"/>
      <c r="E680" s="212"/>
      <c r="F680" s="212"/>
      <c r="G680" s="212"/>
      <c r="H680" s="21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75"/>
      <c r="AD680" s="75"/>
      <c r="AE680" s="75"/>
      <c r="AF680" s="75"/>
      <c r="AG680" s="166"/>
      <c r="AH680" s="75"/>
      <c r="AI680" s="75"/>
      <c r="AJ680" s="75"/>
      <c r="AK680" s="75"/>
      <c r="AL680" s="75"/>
      <c r="AM680" s="75"/>
      <c r="AN680" s="75"/>
      <c r="AO680" s="76">
        <f t="shared" si="37"/>
        <v>0</v>
      </c>
      <c r="AP680" s="489"/>
      <c r="AR680" s="409"/>
    </row>
    <row r="681" spans="2:44" s="83" customFormat="1">
      <c r="B681" s="79" t="s">
        <v>75</v>
      </c>
      <c r="C681" s="79"/>
      <c r="D681" s="80"/>
      <c r="E681" s="212"/>
      <c r="F681" s="212"/>
      <c r="G681" s="212"/>
      <c r="H681" s="21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75"/>
      <c r="AD681" s="75"/>
      <c r="AE681" s="75"/>
      <c r="AF681" s="75"/>
      <c r="AG681" s="75"/>
      <c r="AH681" s="75"/>
      <c r="AI681" s="75"/>
      <c r="AJ681" s="75"/>
      <c r="AK681" s="75"/>
      <c r="AL681" s="75"/>
      <c r="AM681" s="75"/>
      <c r="AN681" s="75"/>
      <c r="AO681" s="76">
        <f t="shared" si="37"/>
        <v>0</v>
      </c>
      <c r="AP681" s="489"/>
      <c r="AR681" s="409"/>
    </row>
    <row r="682" spans="2:44" s="83" customFormat="1">
      <c r="B682" s="79" t="s">
        <v>75</v>
      </c>
      <c r="C682" s="79"/>
      <c r="D682" s="80"/>
      <c r="E682" s="212"/>
      <c r="F682" s="212"/>
      <c r="G682" s="212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75"/>
      <c r="AD682" s="75"/>
      <c r="AE682" s="75"/>
      <c r="AF682" s="75"/>
      <c r="AG682" s="75"/>
      <c r="AH682" s="75"/>
      <c r="AI682" s="75"/>
      <c r="AJ682" s="75"/>
      <c r="AK682" s="75"/>
      <c r="AL682" s="75"/>
      <c r="AM682" s="75"/>
      <c r="AN682" s="75"/>
      <c r="AO682" s="76">
        <f>SUM(I682:AN682)</f>
        <v>0</v>
      </c>
      <c r="AP682" s="489"/>
      <c r="AR682" s="409"/>
    </row>
    <row r="683" spans="2:44" s="83" customFormat="1">
      <c r="B683" s="79" t="s">
        <v>75</v>
      </c>
      <c r="C683" s="79"/>
      <c r="D683" s="80"/>
      <c r="E683" s="212"/>
      <c r="F683" s="81"/>
      <c r="G683" s="81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75"/>
      <c r="AD683" s="75"/>
      <c r="AE683" s="75"/>
      <c r="AF683" s="75"/>
      <c r="AG683" s="75"/>
      <c r="AH683" s="166"/>
      <c r="AI683" s="166"/>
      <c r="AJ683" s="166"/>
      <c r="AK683" s="75"/>
      <c r="AL683" s="75"/>
      <c r="AM683" s="166"/>
      <c r="AN683" s="75"/>
      <c r="AO683" s="76">
        <f t="shared" si="37"/>
        <v>0</v>
      </c>
      <c r="AP683" s="489"/>
      <c r="AR683" s="409"/>
    </row>
    <row r="684" spans="2:44" s="83" customFormat="1">
      <c r="B684" s="79" t="s">
        <v>75</v>
      </c>
      <c r="C684" s="79"/>
      <c r="D684" s="80"/>
      <c r="E684" s="81"/>
      <c r="F684" s="81"/>
      <c r="G684" s="81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75"/>
      <c r="AD684" s="75"/>
      <c r="AE684" s="75"/>
      <c r="AF684" s="75"/>
      <c r="AG684" s="75"/>
      <c r="AH684" s="166"/>
      <c r="AI684" s="166"/>
      <c r="AJ684" s="166"/>
      <c r="AK684" s="75"/>
      <c r="AL684" s="75"/>
      <c r="AM684" s="75"/>
      <c r="AN684" s="75"/>
      <c r="AO684" s="76">
        <f t="shared" si="37"/>
        <v>0</v>
      </c>
      <c r="AP684" s="489"/>
      <c r="AR684" s="409"/>
    </row>
    <row r="685" spans="2:44" s="83" customFormat="1">
      <c r="B685" s="79" t="s">
        <v>75</v>
      </c>
      <c r="C685" s="79"/>
      <c r="D685" s="80"/>
      <c r="E685" s="81"/>
      <c r="F685" s="81"/>
      <c r="G685" s="81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75"/>
      <c r="AD685" s="75"/>
      <c r="AE685" s="75"/>
      <c r="AF685" s="75"/>
      <c r="AG685" s="75"/>
      <c r="AH685" s="166"/>
      <c r="AI685" s="166"/>
      <c r="AJ685" s="166"/>
      <c r="AK685" s="75"/>
      <c r="AL685" s="75"/>
      <c r="AM685" s="75"/>
      <c r="AN685" s="75"/>
      <c r="AO685" s="76">
        <f t="shared" si="37"/>
        <v>0</v>
      </c>
      <c r="AP685" s="489"/>
      <c r="AR685" s="409"/>
    </row>
    <row r="686" spans="2:44" s="83" customFormat="1">
      <c r="B686" s="79" t="s">
        <v>75</v>
      </c>
      <c r="C686" s="79"/>
      <c r="D686" s="80"/>
      <c r="E686" s="81"/>
      <c r="F686" s="81"/>
      <c r="G686" s="81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75"/>
      <c r="AD686" s="75"/>
      <c r="AE686" s="166"/>
      <c r="AF686" s="75"/>
      <c r="AG686" s="75"/>
      <c r="AH686" s="166"/>
      <c r="AI686" s="166"/>
      <c r="AJ686" s="166"/>
      <c r="AK686" s="75"/>
      <c r="AL686" s="75"/>
      <c r="AM686" s="75"/>
      <c r="AN686" s="75"/>
      <c r="AO686" s="76">
        <f t="shared" si="37"/>
        <v>0</v>
      </c>
      <c r="AP686" s="489"/>
      <c r="AR686" s="409"/>
    </row>
    <row r="687" spans="2:44" s="83" customFormat="1">
      <c r="B687" s="79" t="s">
        <v>75</v>
      </c>
      <c r="C687" s="79"/>
      <c r="D687" s="80"/>
      <c r="E687" s="81"/>
      <c r="F687" s="81"/>
      <c r="G687" s="81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75"/>
      <c r="AD687" s="75"/>
      <c r="AE687" s="75"/>
      <c r="AF687" s="75"/>
      <c r="AG687" s="75"/>
      <c r="AH687" s="166"/>
      <c r="AI687" s="166"/>
      <c r="AJ687" s="166"/>
      <c r="AK687" s="75"/>
      <c r="AL687" s="75"/>
      <c r="AM687" s="75"/>
      <c r="AN687" s="75"/>
      <c r="AO687" s="76">
        <f t="shared" si="37"/>
        <v>0</v>
      </c>
      <c r="AP687" s="489"/>
      <c r="AR687" s="409"/>
    </row>
    <row r="688" spans="2:44" s="83" customFormat="1">
      <c r="B688" s="79" t="s">
        <v>75</v>
      </c>
      <c r="C688" s="79"/>
      <c r="D688" s="80"/>
      <c r="E688" s="81"/>
      <c r="F688" s="81"/>
      <c r="G688" s="81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75"/>
      <c r="AD688" s="75"/>
      <c r="AE688" s="75"/>
      <c r="AF688" s="75"/>
      <c r="AG688" s="75"/>
      <c r="AH688" s="166"/>
      <c r="AI688" s="166"/>
      <c r="AJ688" s="166"/>
      <c r="AK688" s="75"/>
      <c r="AL688" s="75"/>
      <c r="AM688" s="75"/>
      <c r="AN688" s="75"/>
      <c r="AO688" s="76">
        <f t="shared" si="37"/>
        <v>0</v>
      </c>
      <c r="AP688" s="489"/>
      <c r="AR688" s="409"/>
    </row>
    <row r="689" spans="2:44" s="83" customFormat="1">
      <c r="B689" s="79" t="s">
        <v>75</v>
      </c>
      <c r="C689" s="79"/>
      <c r="D689" s="80"/>
      <c r="E689" s="81"/>
      <c r="F689" s="81"/>
      <c r="G689" s="81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75"/>
      <c r="AD689" s="75"/>
      <c r="AE689" s="75"/>
      <c r="AF689" s="75"/>
      <c r="AG689" s="75"/>
      <c r="AH689" s="166"/>
      <c r="AI689" s="166"/>
      <c r="AJ689" s="166"/>
      <c r="AK689" s="75"/>
      <c r="AL689" s="75"/>
      <c r="AM689" s="75"/>
      <c r="AN689" s="166"/>
      <c r="AO689" s="76">
        <f t="shared" si="37"/>
        <v>0</v>
      </c>
      <c r="AP689" s="489"/>
      <c r="AR689" s="409"/>
    </row>
    <row r="690" spans="2:44" s="83" customFormat="1">
      <c r="B690" s="79" t="s">
        <v>75</v>
      </c>
      <c r="C690" s="79"/>
      <c r="D690" s="80"/>
      <c r="E690" s="81"/>
      <c r="F690" s="81"/>
      <c r="G690" s="81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75"/>
      <c r="AD690" s="75"/>
      <c r="AE690" s="75"/>
      <c r="AF690" s="75"/>
      <c r="AG690" s="75"/>
      <c r="AH690" s="166"/>
      <c r="AI690" s="75"/>
      <c r="AJ690" s="75"/>
      <c r="AK690" s="75"/>
      <c r="AL690" s="75"/>
      <c r="AM690" s="75"/>
      <c r="AN690" s="75"/>
      <c r="AO690" s="76">
        <f t="shared" si="37"/>
        <v>0</v>
      </c>
      <c r="AP690" s="489"/>
      <c r="AR690" s="409"/>
    </row>
    <row r="691" spans="2:44" s="83" customFormat="1">
      <c r="B691" s="79" t="s">
        <v>75</v>
      </c>
      <c r="C691" s="79"/>
      <c r="D691" s="80"/>
      <c r="E691" s="81"/>
      <c r="F691" s="81"/>
      <c r="G691" s="81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75"/>
      <c r="AD691" s="75"/>
      <c r="AE691" s="75"/>
      <c r="AF691" s="75"/>
      <c r="AG691" s="75"/>
      <c r="AH691" s="75"/>
      <c r="AI691" s="75"/>
      <c r="AJ691" s="75"/>
      <c r="AK691" s="75"/>
      <c r="AL691" s="75"/>
      <c r="AM691" s="75"/>
      <c r="AN691" s="75"/>
      <c r="AO691" s="76">
        <f t="shared" si="37"/>
        <v>0</v>
      </c>
      <c r="AP691" s="489"/>
      <c r="AR691" s="409"/>
    </row>
    <row r="692" spans="2:44" s="83" customFormat="1">
      <c r="B692" s="79" t="s">
        <v>75</v>
      </c>
      <c r="C692" s="79"/>
      <c r="D692" s="80"/>
      <c r="E692" s="81"/>
      <c r="F692" s="81"/>
      <c r="G692" s="81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75"/>
      <c r="AD692" s="75"/>
      <c r="AE692" s="75"/>
      <c r="AF692" s="75"/>
      <c r="AG692" s="75"/>
      <c r="AH692" s="75"/>
      <c r="AI692" s="75"/>
      <c r="AJ692" s="75"/>
      <c r="AK692" s="75"/>
      <c r="AL692" s="75"/>
      <c r="AM692" s="75"/>
      <c r="AN692" s="75"/>
      <c r="AO692" s="76">
        <f t="shared" si="37"/>
        <v>0</v>
      </c>
      <c r="AP692" s="489"/>
      <c r="AR692" s="409"/>
    </row>
    <row r="693" spans="2:44" s="83" customFormat="1">
      <c r="B693" s="79" t="s">
        <v>75</v>
      </c>
      <c r="C693" s="79"/>
      <c r="D693" s="80"/>
      <c r="E693" s="81"/>
      <c r="F693" s="81"/>
      <c r="G693" s="81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75"/>
      <c r="AD693" s="75"/>
      <c r="AE693" s="75"/>
      <c r="AF693" s="75"/>
      <c r="AG693" s="75"/>
      <c r="AH693" s="75"/>
      <c r="AI693" s="75"/>
      <c r="AJ693" s="75"/>
      <c r="AK693" s="75"/>
      <c r="AL693" s="75"/>
      <c r="AM693" s="75"/>
      <c r="AN693" s="75"/>
      <c r="AO693" s="76">
        <f t="shared" si="37"/>
        <v>0</v>
      </c>
      <c r="AP693" s="489"/>
      <c r="AR693" s="409"/>
    </row>
    <row r="694" spans="2:44" s="83" customFormat="1">
      <c r="B694" s="79" t="s">
        <v>75</v>
      </c>
      <c r="C694" s="79"/>
      <c r="D694" s="80"/>
      <c r="E694" s="81"/>
      <c r="F694" s="81"/>
      <c r="G694" s="81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75"/>
      <c r="AD694" s="75"/>
      <c r="AE694" s="75"/>
      <c r="AF694" s="75"/>
      <c r="AG694" s="75"/>
      <c r="AH694" s="75"/>
      <c r="AI694" s="75"/>
      <c r="AJ694" s="75"/>
      <c r="AK694" s="75"/>
      <c r="AL694" s="75"/>
      <c r="AM694" s="75"/>
      <c r="AN694" s="75"/>
      <c r="AO694" s="76">
        <f t="shared" si="37"/>
        <v>0</v>
      </c>
      <c r="AP694" s="489"/>
      <c r="AR694" s="409"/>
    </row>
    <row r="695" spans="2:44" s="83" customFormat="1" ht="16.5" thickBot="1">
      <c r="B695" s="79" t="s">
        <v>75</v>
      </c>
      <c r="C695" s="79"/>
      <c r="D695" s="80"/>
      <c r="E695" s="81"/>
      <c r="F695" s="81"/>
      <c r="G695" s="81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75"/>
      <c r="AD695" s="75"/>
      <c r="AE695" s="75"/>
      <c r="AF695" s="75"/>
      <c r="AG695" s="75"/>
      <c r="AH695" s="75"/>
      <c r="AI695" s="75"/>
      <c r="AJ695" s="75"/>
      <c r="AK695" s="75"/>
      <c r="AL695" s="75"/>
      <c r="AM695" s="75"/>
      <c r="AN695" s="75"/>
      <c r="AO695" s="76">
        <f t="shared" si="37"/>
        <v>0</v>
      </c>
      <c r="AP695" s="439"/>
      <c r="AR695" s="409"/>
    </row>
    <row r="696" spans="2:44" s="83" customFormat="1">
      <c r="B696" s="79" t="s">
        <v>75</v>
      </c>
      <c r="C696" s="79"/>
      <c r="D696" s="80"/>
      <c r="E696" s="81"/>
      <c r="F696" s="81"/>
      <c r="G696" s="81"/>
      <c r="H696" s="414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75"/>
      <c r="AD696" s="75"/>
      <c r="AE696" s="75"/>
      <c r="AF696" s="75"/>
      <c r="AG696" s="75"/>
      <c r="AH696" s="75"/>
      <c r="AI696" s="75"/>
      <c r="AJ696" s="75"/>
      <c r="AK696" s="75"/>
      <c r="AL696" s="75"/>
      <c r="AM696" s="75"/>
      <c r="AN696" s="75"/>
      <c r="AO696" s="76">
        <f t="shared" si="37"/>
        <v>0</v>
      </c>
      <c r="AP696" s="591">
        <f>SUM(AO696:AO706)</f>
        <v>0</v>
      </c>
      <c r="AR696" s="409"/>
    </row>
    <row r="697" spans="2:44" s="83" customFormat="1">
      <c r="B697" s="79" t="s">
        <v>75</v>
      </c>
      <c r="C697" s="79"/>
      <c r="D697" s="80"/>
      <c r="E697" s="81"/>
      <c r="F697" s="81"/>
      <c r="G697" s="81"/>
      <c r="H697" s="414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75"/>
      <c r="AD697" s="75"/>
      <c r="AE697" s="75"/>
      <c r="AF697" s="75"/>
      <c r="AG697" s="75"/>
      <c r="AH697" s="75"/>
      <c r="AI697" s="75"/>
      <c r="AJ697" s="75"/>
      <c r="AK697" s="75"/>
      <c r="AL697" s="75"/>
      <c r="AM697" s="75"/>
      <c r="AN697" s="75"/>
      <c r="AO697" s="76">
        <f t="shared" si="37"/>
        <v>0</v>
      </c>
      <c r="AP697" s="592"/>
      <c r="AR697" s="409"/>
    </row>
    <row r="698" spans="2:44" s="83" customFormat="1">
      <c r="B698" s="79" t="s">
        <v>75</v>
      </c>
      <c r="C698" s="79"/>
      <c r="D698" s="80"/>
      <c r="E698" s="81"/>
      <c r="F698" s="81"/>
      <c r="G698" s="81"/>
      <c r="H698" s="414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75"/>
      <c r="AD698" s="75"/>
      <c r="AE698" s="75"/>
      <c r="AF698" s="75"/>
      <c r="AG698" s="75"/>
      <c r="AH698" s="75"/>
      <c r="AI698" s="75"/>
      <c r="AJ698" s="75"/>
      <c r="AK698" s="75"/>
      <c r="AL698" s="75"/>
      <c r="AM698" s="75"/>
      <c r="AN698" s="75"/>
      <c r="AO698" s="76">
        <f t="shared" si="37"/>
        <v>0</v>
      </c>
      <c r="AP698" s="592"/>
      <c r="AR698" s="409"/>
    </row>
    <row r="699" spans="2:44" s="83" customFormat="1">
      <c r="B699" s="79" t="s">
        <v>75</v>
      </c>
      <c r="C699" s="79"/>
      <c r="D699" s="80"/>
      <c r="E699" s="81"/>
      <c r="F699" s="81"/>
      <c r="G699" s="81"/>
      <c r="H699" s="414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75"/>
      <c r="AD699" s="75"/>
      <c r="AE699" s="75"/>
      <c r="AF699" s="75"/>
      <c r="AG699" s="166"/>
      <c r="AH699" s="75"/>
      <c r="AI699" s="75"/>
      <c r="AJ699" s="75"/>
      <c r="AK699" s="75"/>
      <c r="AL699" s="75"/>
      <c r="AM699" s="75"/>
      <c r="AN699" s="75"/>
      <c r="AO699" s="76">
        <f t="shared" si="37"/>
        <v>0</v>
      </c>
      <c r="AP699" s="592"/>
      <c r="AR699" s="409"/>
    </row>
    <row r="700" spans="2:44" s="83" customFormat="1">
      <c r="B700" s="79" t="s">
        <v>75</v>
      </c>
      <c r="C700" s="79"/>
      <c r="D700" s="80"/>
      <c r="E700" s="81"/>
      <c r="F700" s="81"/>
      <c r="G700" s="81"/>
      <c r="H700" s="414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75"/>
      <c r="AD700" s="75"/>
      <c r="AE700" s="75"/>
      <c r="AF700" s="75"/>
      <c r="AG700" s="75"/>
      <c r="AH700" s="75"/>
      <c r="AI700" s="75"/>
      <c r="AJ700" s="75"/>
      <c r="AK700" s="75"/>
      <c r="AL700" s="75"/>
      <c r="AM700" s="75"/>
      <c r="AN700" s="75"/>
      <c r="AO700" s="76">
        <f t="shared" si="37"/>
        <v>0</v>
      </c>
      <c r="AP700" s="592"/>
      <c r="AR700" s="409"/>
    </row>
    <row r="701" spans="2:44" s="83" customFormat="1">
      <c r="B701" s="79" t="s">
        <v>75</v>
      </c>
      <c r="C701" s="79"/>
      <c r="D701" s="80"/>
      <c r="E701" s="81"/>
      <c r="F701" s="81"/>
      <c r="G701" s="81"/>
      <c r="H701" s="414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75"/>
      <c r="AD701" s="75"/>
      <c r="AE701" s="75"/>
      <c r="AF701" s="75"/>
      <c r="AG701" s="75"/>
      <c r="AH701" s="75"/>
      <c r="AI701" s="75"/>
      <c r="AJ701" s="75"/>
      <c r="AK701" s="75"/>
      <c r="AL701" s="75"/>
      <c r="AM701" s="75"/>
      <c r="AN701" s="75"/>
      <c r="AO701" s="76">
        <f t="shared" si="37"/>
        <v>0</v>
      </c>
      <c r="AP701" s="592"/>
      <c r="AR701" s="409"/>
    </row>
    <row r="702" spans="2:44" s="83" customFormat="1">
      <c r="B702" s="79" t="s">
        <v>75</v>
      </c>
      <c r="C702" s="79"/>
      <c r="D702" s="80"/>
      <c r="E702" s="81"/>
      <c r="F702" s="81"/>
      <c r="G702" s="81"/>
      <c r="H702" s="414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75"/>
      <c r="AD702" s="75"/>
      <c r="AE702" s="75"/>
      <c r="AF702" s="75"/>
      <c r="AG702" s="75"/>
      <c r="AH702" s="75"/>
      <c r="AI702" s="75"/>
      <c r="AJ702" s="75"/>
      <c r="AK702" s="75"/>
      <c r="AL702" s="75"/>
      <c r="AM702" s="75"/>
      <c r="AN702" s="75"/>
      <c r="AO702" s="76">
        <f t="shared" si="37"/>
        <v>0</v>
      </c>
      <c r="AP702" s="592"/>
      <c r="AR702" s="409"/>
    </row>
    <row r="703" spans="2:44" s="83" customFormat="1">
      <c r="B703" s="79" t="s">
        <v>75</v>
      </c>
      <c r="C703" s="79"/>
      <c r="D703" s="80"/>
      <c r="E703" s="81"/>
      <c r="F703" s="81"/>
      <c r="G703" s="81"/>
      <c r="H703" s="414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75"/>
      <c r="AD703" s="75"/>
      <c r="AE703" s="75"/>
      <c r="AF703" s="75"/>
      <c r="AG703" s="166"/>
      <c r="AH703" s="75"/>
      <c r="AI703" s="75"/>
      <c r="AJ703" s="75"/>
      <c r="AK703" s="75"/>
      <c r="AL703" s="75"/>
      <c r="AM703" s="75"/>
      <c r="AN703" s="75"/>
      <c r="AO703" s="76">
        <f t="shared" si="37"/>
        <v>0</v>
      </c>
      <c r="AP703" s="592"/>
      <c r="AR703" s="409"/>
    </row>
    <row r="704" spans="2:44" s="83" customFormat="1">
      <c r="B704" s="79" t="s">
        <v>75</v>
      </c>
      <c r="C704" s="79"/>
      <c r="D704" s="80"/>
      <c r="E704" s="81"/>
      <c r="F704" s="81"/>
      <c r="G704" s="81"/>
      <c r="H704" s="414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75"/>
      <c r="AD704" s="75"/>
      <c r="AE704" s="75"/>
      <c r="AF704" s="75"/>
      <c r="AG704" s="166"/>
      <c r="AH704" s="75"/>
      <c r="AI704" s="75"/>
      <c r="AJ704" s="75"/>
      <c r="AK704" s="75"/>
      <c r="AL704" s="75"/>
      <c r="AM704" s="75"/>
      <c r="AN704" s="75"/>
      <c r="AO704" s="76">
        <f t="shared" si="37"/>
        <v>0</v>
      </c>
      <c r="AP704" s="592"/>
      <c r="AR704" s="409"/>
    </row>
    <row r="705" spans="2:44" s="83" customFormat="1">
      <c r="B705" s="79" t="s">
        <v>75</v>
      </c>
      <c r="C705" s="79"/>
      <c r="D705" s="80"/>
      <c r="E705" s="81"/>
      <c r="F705" s="81"/>
      <c r="G705" s="81"/>
      <c r="H705" s="414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75"/>
      <c r="AD705" s="75"/>
      <c r="AE705" s="75"/>
      <c r="AF705" s="75"/>
      <c r="AG705" s="75"/>
      <c r="AH705" s="75"/>
      <c r="AI705" s="75"/>
      <c r="AJ705" s="75"/>
      <c r="AK705" s="75"/>
      <c r="AL705" s="75"/>
      <c r="AM705" s="75"/>
      <c r="AN705" s="75"/>
      <c r="AO705" s="76">
        <f t="shared" si="37"/>
        <v>0</v>
      </c>
      <c r="AP705" s="592"/>
      <c r="AR705" s="409"/>
    </row>
    <row r="706" spans="2:44" s="83" customFormat="1" ht="16.5" thickBot="1">
      <c r="B706" s="79" t="s">
        <v>75</v>
      </c>
      <c r="C706" s="79"/>
      <c r="D706" s="80"/>
      <c r="E706" s="81"/>
      <c r="F706" s="81"/>
      <c r="G706" s="81"/>
      <c r="H706" s="414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75"/>
      <c r="AD706" s="75"/>
      <c r="AE706" s="75"/>
      <c r="AF706" s="75"/>
      <c r="AG706" s="75"/>
      <c r="AH706" s="75"/>
      <c r="AI706" s="75"/>
      <c r="AJ706" s="75"/>
      <c r="AK706" s="75"/>
      <c r="AL706" s="75"/>
      <c r="AM706" s="75"/>
      <c r="AN706" s="75"/>
      <c r="AO706" s="76">
        <f t="shared" si="37"/>
        <v>0</v>
      </c>
      <c r="AP706" s="593"/>
      <c r="AR706" s="409"/>
    </row>
    <row r="707" spans="2:44" s="83" customFormat="1">
      <c r="B707" s="79" t="s">
        <v>75</v>
      </c>
      <c r="C707" s="79"/>
      <c r="D707" s="80"/>
      <c r="E707" s="81"/>
      <c r="F707" s="81"/>
      <c r="G707" s="81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75"/>
      <c r="AD707" s="75"/>
      <c r="AE707" s="75"/>
      <c r="AF707" s="75"/>
      <c r="AG707" s="75"/>
      <c r="AH707" s="75"/>
      <c r="AI707" s="75"/>
      <c r="AJ707" s="75"/>
      <c r="AK707" s="75"/>
      <c r="AL707" s="75"/>
      <c r="AM707" s="75"/>
      <c r="AN707" s="75"/>
      <c r="AO707" s="76">
        <f t="shared" si="37"/>
        <v>0</v>
      </c>
      <c r="AP707" s="591">
        <f>SUM(AO707:AO720)</f>
        <v>0</v>
      </c>
      <c r="AR707" s="409"/>
    </row>
    <row r="708" spans="2:44" s="83" customFormat="1">
      <c r="B708" s="79" t="s">
        <v>75</v>
      </c>
      <c r="C708" s="79"/>
      <c r="D708" s="80"/>
      <c r="E708" s="81"/>
      <c r="F708" s="81"/>
      <c r="G708" s="81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75"/>
      <c r="AD708" s="75"/>
      <c r="AE708" s="75"/>
      <c r="AF708" s="75"/>
      <c r="AG708" s="75"/>
      <c r="AH708" s="75"/>
      <c r="AI708" s="75"/>
      <c r="AJ708" s="75"/>
      <c r="AK708" s="75"/>
      <c r="AL708" s="75"/>
      <c r="AM708" s="75"/>
      <c r="AN708" s="75"/>
      <c r="AO708" s="76">
        <f t="shared" si="37"/>
        <v>0</v>
      </c>
      <c r="AP708" s="592"/>
      <c r="AR708" s="409"/>
    </row>
    <row r="709" spans="2:44" s="83" customFormat="1">
      <c r="B709" s="79" t="s">
        <v>75</v>
      </c>
      <c r="C709" s="79"/>
      <c r="D709" s="80"/>
      <c r="E709" s="81"/>
      <c r="F709" s="81"/>
      <c r="G709" s="81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75"/>
      <c r="AD709" s="75"/>
      <c r="AE709" s="75"/>
      <c r="AF709" s="75"/>
      <c r="AG709" s="166"/>
      <c r="AH709" s="166"/>
      <c r="AI709" s="75"/>
      <c r="AJ709" s="75"/>
      <c r="AK709" s="75"/>
      <c r="AL709" s="75"/>
      <c r="AM709" s="75"/>
      <c r="AN709" s="75"/>
      <c r="AO709" s="76">
        <f t="shared" si="37"/>
        <v>0</v>
      </c>
      <c r="AP709" s="592"/>
      <c r="AR709" s="409"/>
    </row>
    <row r="710" spans="2:44" s="83" customFormat="1">
      <c r="B710" s="79" t="s">
        <v>75</v>
      </c>
      <c r="C710" s="79"/>
      <c r="D710" s="80"/>
      <c r="E710" s="81"/>
      <c r="F710" s="81"/>
      <c r="G710" s="81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75"/>
      <c r="AD710" s="166"/>
      <c r="AE710" s="75"/>
      <c r="AF710" s="75"/>
      <c r="AG710" s="75"/>
      <c r="AH710" s="75"/>
      <c r="AI710" s="75"/>
      <c r="AJ710" s="75"/>
      <c r="AK710" s="75"/>
      <c r="AL710" s="75"/>
      <c r="AM710" s="75"/>
      <c r="AN710" s="75"/>
      <c r="AO710" s="76">
        <f t="shared" ref="AO710:AO741" si="38">SUM(I710:AN710)</f>
        <v>0</v>
      </c>
      <c r="AP710" s="592"/>
      <c r="AR710" s="409"/>
    </row>
    <row r="711" spans="2:44" s="83" customFormat="1">
      <c r="B711" s="79" t="s">
        <v>75</v>
      </c>
      <c r="C711" s="79"/>
      <c r="D711" s="80"/>
      <c r="E711" s="81"/>
      <c r="F711" s="81"/>
      <c r="G711" s="81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75"/>
      <c r="AD711" s="75"/>
      <c r="AE711" s="75"/>
      <c r="AF711" s="75"/>
      <c r="AG711" s="75"/>
      <c r="AH711" s="75"/>
      <c r="AI711" s="75"/>
      <c r="AJ711" s="75"/>
      <c r="AK711" s="75"/>
      <c r="AL711" s="75"/>
      <c r="AM711" s="75"/>
      <c r="AN711" s="75"/>
      <c r="AO711" s="76">
        <f t="shared" si="38"/>
        <v>0</v>
      </c>
      <c r="AP711" s="592"/>
      <c r="AR711" s="409"/>
    </row>
    <row r="712" spans="2:44" s="83" customFormat="1">
      <c r="B712" s="79" t="s">
        <v>75</v>
      </c>
      <c r="C712" s="79"/>
      <c r="D712" s="80"/>
      <c r="E712" s="81"/>
      <c r="F712" s="81"/>
      <c r="G712" s="81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75"/>
      <c r="AD712" s="75"/>
      <c r="AE712" s="75"/>
      <c r="AF712" s="75"/>
      <c r="AG712" s="75"/>
      <c r="AH712" s="75"/>
      <c r="AI712" s="75"/>
      <c r="AJ712" s="75"/>
      <c r="AK712" s="75"/>
      <c r="AL712" s="75"/>
      <c r="AM712" s="75"/>
      <c r="AN712" s="75"/>
      <c r="AO712" s="76">
        <f t="shared" si="38"/>
        <v>0</v>
      </c>
      <c r="AP712" s="592"/>
      <c r="AR712" s="409"/>
    </row>
    <row r="713" spans="2:44" s="83" customFormat="1">
      <c r="B713" s="79" t="s">
        <v>75</v>
      </c>
      <c r="C713" s="79"/>
      <c r="D713" s="80"/>
      <c r="E713" s="81"/>
      <c r="F713" s="81"/>
      <c r="G713" s="81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75"/>
      <c r="AD713" s="75"/>
      <c r="AE713" s="75"/>
      <c r="AF713" s="75"/>
      <c r="AG713" s="75"/>
      <c r="AH713" s="166"/>
      <c r="AI713" s="75"/>
      <c r="AJ713" s="75"/>
      <c r="AK713" s="75"/>
      <c r="AL713" s="75"/>
      <c r="AM713" s="75"/>
      <c r="AN713" s="75"/>
      <c r="AO713" s="76">
        <f t="shared" si="38"/>
        <v>0</v>
      </c>
      <c r="AP713" s="592"/>
      <c r="AR713" s="409"/>
    </row>
    <row r="714" spans="2:44" s="83" customFormat="1">
      <c r="B714" s="79" t="s">
        <v>75</v>
      </c>
      <c r="C714" s="79"/>
      <c r="D714" s="80"/>
      <c r="E714" s="81"/>
      <c r="F714" s="81"/>
      <c r="G714" s="81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75"/>
      <c r="AD714" s="75"/>
      <c r="AE714" s="75"/>
      <c r="AF714" s="75"/>
      <c r="AG714" s="75"/>
      <c r="AH714" s="166"/>
      <c r="AI714" s="75"/>
      <c r="AJ714" s="75"/>
      <c r="AK714" s="75"/>
      <c r="AL714" s="75"/>
      <c r="AM714" s="75"/>
      <c r="AN714" s="75"/>
      <c r="AO714" s="76">
        <f t="shared" si="38"/>
        <v>0</v>
      </c>
      <c r="AP714" s="592"/>
      <c r="AR714" s="409"/>
    </row>
    <row r="715" spans="2:44" s="83" customFormat="1">
      <c r="B715" s="79" t="s">
        <v>75</v>
      </c>
      <c r="C715" s="79"/>
      <c r="D715" s="80"/>
      <c r="E715" s="81"/>
      <c r="F715" s="81"/>
      <c r="G715" s="81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75"/>
      <c r="AD715" s="75"/>
      <c r="AE715" s="75"/>
      <c r="AF715" s="75"/>
      <c r="AG715" s="75"/>
      <c r="AH715" s="75"/>
      <c r="AI715" s="75"/>
      <c r="AJ715" s="75"/>
      <c r="AK715" s="75"/>
      <c r="AL715" s="75"/>
      <c r="AM715" s="75"/>
      <c r="AN715" s="75"/>
      <c r="AO715" s="76">
        <f t="shared" si="38"/>
        <v>0</v>
      </c>
      <c r="AP715" s="592"/>
      <c r="AR715" s="409"/>
    </row>
    <row r="716" spans="2:44" s="83" customFormat="1">
      <c r="B716" s="79" t="s">
        <v>75</v>
      </c>
      <c r="C716" s="79"/>
      <c r="D716" s="80"/>
      <c r="E716" s="81"/>
      <c r="F716" s="81"/>
      <c r="G716" s="81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75"/>
      <c r="AD716" s="75"/>
      <c r="AE716" s="75"/>
      <c r="AF716" s="75"/>
      <c r="AG716" s="75"/>
      <c r="AH716" s="75"/>
      <c r="AI716" s="75"/>
      <c r="AJ716" s="75"/>
      <c r="AK716" s="75"/>
      <c r="AL716" s="75"/>
      <c r="AM716" s="75"/>
      <c r="AN716" s="75"/>
      <c r="AO716" s="76">
        <f t="shared" si="38"/>
        <v>0</v>
      </c>
      <c r="AP716" s="592"/>
      <c r="AR716" s="409"/>
    </row>
    <row r="717" spans="2:44" s="83" customFormat="1">
      <c r="B717" s="79" t="s">
        <v>75</v>
      </c>
      <c r="C717" s="79"/>
      <c r="D717" s="80"/>
      <c r="E717" s="80"/>
      <c r="F717" s="81"/>
      <c r="G717" s="81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75"/>
      <c r="AD717" s="75"/>
      <c r="AE717" s="75"/>
      <c r="AF717" s="75"/>
      <c r="AG717" s="166"/>
      <c r="AH717" s="75"/>
      <c r="AI717" s="75"/>
      <c r="AJ717" s="75"/>
      <c r="AK717" s="75"/>
      <c r="AL717" s="75"/>
      <c r="AM717" s="75"/>
      <c r="AN717" s="75"/>
      <c r="AO717" s="76">
        <f t="shared" si="38"/>
        <v>0</v>
      </c>
      <c r="AP717" s="592"/>
      <c r="AR717" s="409"/>
    </row>
    <row r="718" spans="2:44" s="83" customFormat="1">
      <c r="B718" s="79" t="s">
        <v>75</v>
      </c>
      <c r="C718" s="79"/>
      <c r="D718" s="80"/>
      <c r="E718" s="81"/>
      <c r="F718" s="81"/>
      <c r="G718" s="81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75"/>
      <c r="AD718" s="75"/>
      <c r="AE718" s="75"/>
      <c r="AF718" s="75"/>
      <c r="AG718" s="75"/>
      <c r="AH718" s="75"/>
      <c r="AI718" s="75"/>
      <c r="AJ718" s="75"/>
      <c r="AK718" s="75"/>
      <c r="AL718" s="75"/>
      <c r="AM718" s="75"/>
      <c r="AN718" s="75"/>
      <c r="AO718" s="76">
        <f t="shared" si="38"/>
        <v>0</v>
      </c>
      <c r="AP718" s="592"/>
      <c r="AR718" s="409"/>
    </row>
    <row r="719" spans="2:44" s="83" customFormat="1">
      <c r="B719" s="79" t="s">
        <v>75</v>
      </c>
      <c r="C719" s="79"/>
      <c r="D719" s="80"/>
      <c r="E719" s="81"/>
      <c r="F719" s="81"/>
      <c r="G719" s="81"/>
      <c r="H719" s="81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75"/>
      <c r="AD719" s="75"/>
      <c r="AE719" s="75"/>
      <c r="AF719" s="75"/>
      <c r="AG719" s="166"/>
      <c r="AH719" s="75"/>
      <c r="AI719" s="75"/>
      <c r="AJ719" s="75"/>
      <c r="AK719" s="75"/>
      <c r="AL719" s="75"/>
      <c r="AM719" s="75"/>
      <c r="AN719" s="75"/>
      <c r="AO719" s="76">
        <f t="shared" si="38"/>
        <v>0</v>
      </c>
      <c r="AP719" s="592"/>
      <c r="AR719" s="409"/>
    </row>
    <row r="720" spans="2:44" s="83" customFormat="1" ht="16.5" thickBot="1">
      <c r="B720" s="79" t="s">
        <v>75</v>
      </c>
      <c r="C720" s="79"/>
      <c r="D720" s="80"/>
      <c r="E720" s="81"/>
      <c r="F720" s="81"/>
      <c r="G720" s="81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75"/>
      <c r="AD720" s="75"/>
      <c r="AE720" s="75"/>
      <c r="AF720" s="75"/>
      <c r="AG720" s="75"/>
      <c r="AH720" s="75"/>
      <c r="AI720" s="75"/>
      <c r="AJ720" s="75"/>
      <c r="AK720" s="75"/>
      <c r="AL720" s="75"/>
      <c r="AM720" s="75"/>
      <c r="AN720" s="75"/>
      <c r="AO720" s="76">
        <f t="shared" si="38"/>
        <v>0</v>
      </c>
      <c r="AP720" s="593"/>
      <c r="AR720" s="409"/>
    </row>
    <row r="721" spans="2:44" s="83" customFormat="1">
      <c r="B721" s="79" t="s">
        <v>75</v>
      </c>
      <c r="C721" s="79"/>
      <c r="D721" s="80"/>
      <c r="E721" s="81"/>
      <c r="F721" s="81"/>
      <c r="G721" s="81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75"/>
      <c r="AD721" s="75"/>
      <c r="AE721" s="75"/>
      <c r="AF721" s="75"/>
      <c r="AG721" s="75"/>
      <c r="AH721" s="75"/>
      <c r="AI721" s="75"/>
      <c r="AJ721" s="75"/>
      <c r="AK721" s="75"/>
      <c r="AL721" s="75"/>
      <c r="AM721" s="75"/>
      <c r="AN721" s="75"/>
      <c r="AO721" s="76">
        <f t="shared" si="38"/>
        <v>0</v>
      </c>
      <c r="AP721" s="591">
        <f>SUM(AO721:AO747)</f>
        <v>0</v>
      </c>
      <c r="AR721" s="409"/>
    </row>
    <row r="722" spans="2:44" s="83" customFormat="1">
      <c r="B722" s="79" t="s">
        <v>75</v>
      </c>
      <c r="C722" s="79"/>
      <c r="D722" s="80"/>
      <c r="E722" s="81"/>
      <c r="F722" s="81"/>
      <c r="G722" s="81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75"/>
      <c r="AD722" s="166"/>
      <c r="AE722" s="75"/>
      <c r="AF722" s="75"/>
      <c r="AG722" s="75"/>
      <c r="AH722" s="75"/>
      <c r="AI722" s="75"/>
      <c r="AJ722" s="75"/>
      <c r="AK722" s="75"/>
      <c r="AL722" s="75"/>
      <c r="AM722" s="75"/>
      <c r="AN722" s="75"/>
      <c r="AO722" s="76">
        <f t="shared" si="38"/>
        <v>0</v>
      </c>
      <c r="AP722" s="592"/>
      <c r="AR722" s="409"/>
    </row>
    <row r="723" spans="2:44" s="83" customFormat="1">
      <c r="B723" s="79" t="s">
        <v>75</v>
      </c>
      <c r="C723" s="79"/>
      <c r="D723" s="80"/>
      <c r="E723" s="81"/>
      <c r="F723" s="81"/>
      <c r="G723" s="81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75"/>
      <c r="AD723" s="166"/>
      <c r="AE723" s="75"/>
      <c r="AF723" s="75"/>
      <c r="AG723" s="75"/>
      <c r="AH723" s="166"/>
      <c r="AI723" s="75"/>
      <c r="AJ723" s="75"/>
      <c r="AK723" s="75"/>
      <c r="AL723" s="75"/>
      <c r="AM723" s="75"/>
      <c r="AN723" s="75"/>
      <c r="AO723" s="76">
        <f t="shared" si="38"/>
        <v>0</v>
      </c>
      <c r="AP723" s="592"/>
      <c r="AR723" s="409"/>
    </row>
    <row r="724" spans="2:44" s="83" customFormat="1">
      <c r="B724" s="79" t="s">
        <v>75</v>
      </c>
      <c r="C724" s="79"/>
      <c r="D724" s="80"/>
      <c r="E724" s="81"/>
      <c r="F724" s="81"/>
      <c r="G724" s="81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75"/>
      <c r="AD724" s="75"/>
      <c r="AE724" s="75"/>
      <c r="AF724" s="75"/>
      <c r="AG724" s="75"/>
      <c r="AH724" s="166"/>
      <c r="AI724" s="75"/>
      <c r="AJ724" s="75"/>
      <c r="AK724" s="75"/>
      <c r="AL724" s="75"/>
      <c r="AM724" s="75"/>
      <c r="AN724" s="75"/>
      <c r="AO724" s="76">
        <f t="shared" si="38"/>
        <v>0</v>
      </c>
      <c r="AP724" s="592"/>
      <c r="AR724" s="409"/>
    </row>
    <row r="725" spans="2:44" s="83" customFormat="1">
      <c r="B725" s="79" t="s">
        <v>75</v>
      </c>
      <c r="C725" s="79"/>
      <c r="D725" s="80"/>
      <c r="E725" s="81"/>
      <c r="F725" s="81"/>
      <c r="G725" s="81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75"/>
      <c r="AD725" s="75"/>
      <c r="AE725" s="75"/>
      <c r="AF725" s="75"/>
      <c r="AG725" s="75"/>
      <c r="AH725" s="75"/>
      <c r="AI725" s="75"/>
      <c r="AJ725" s="75"/>
      <c r="AK725" s="166"/>
      <c r="AL725" s="75"/>
      <c r="AM725" s="75"/>
      <c r="AN725" s="75"/>
      <c r="AO725" s="76">
        <f t="shared" si="38"/>
        <v>0</v>
      </c>
      <c r="AP725" s="592"/>
      <c r="AR725" s="409"/>
    </row>
    <row r="726" spans="2:44" s="83" customFormat="1">
      <c r="B726" s="79" t="s">
        <v>75</v>
      </c>
      <c r="C726" s="79"/>
      <c r="D726" s="80"/>
      <c r="E726" s="81"/>
      <c r="F726" s="81"/>
      <c r="G726" s="81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75"/>
      <c r="AD726" s="75"/>
      <c r="AE726" s="75"/>
      <c r="AF726" s="75"/>
      <c r="AG726" s="75"/>
      <c r="AH726" s="75"/>
      <c r="AI726" s="75"/>
      <c r="AJ726" s="75"/>
      <c r="AK726" s="75"/>
      <c r="AL726" s="75"/>
      <c r="AM726" s="75"/>
      <c r="AN726" s="75"/>
      <c r="AO726" s="76">
        <f t="shared" si="38"/>
        <v>0</v>
      </c>
      <c r="AP726" s="592"/>
      <c r="AR726" s="409"/>
    </row>
    <row r="727" spans="2:44" s="83" customFormat="1">
      <c r="B727" s="79" t="s">
        <v>75</v>
      </c>
      <c r="C727" s="79"/>
      <c r="D727" s="80"/>
      <c r="E727" s="81"/>
      <c r="F727" s="81"/>
      <c r="G727" s="81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75"/>
      <c r="AD727" s="75"/>
      <c r="AE727" s="75"/>
      <c r="AF727" s="75"/>
      <c r="AG727" s="75"/>
      <c r="AH727" s="75"/>
      <c r="AI727" s="75"/>
      <c r="AJ727" s="75"/>
      <c r="AK727" s="75"/>
      <c r="AL727" s="75"/>
      <c r="AM727" s="75"/>
      <c r="AN727" s="75"/>
      <c r="AO727" s="76">
        <f>SUM(I727:AN727)</f>
        <v>0</v>
      </c>
      <c r="AP727" s="592"/>
      <c r="AR727" s="409"/>
    </row>
    <row r="728" spans="2:44" s="83" customFormat="1">
      <c r="B728" s="79" t="s">
        <v>75</v>
      </c>
      <c r="C728" s="79"/>
      <c r="D728" s="80"/>
      <c r="E728" s="81"/>
      <c r="F728" s="81"/>
      <c r="G728" s="81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75"/>
      <c r="AD728" s="75"/>
      <c r="AE728" s="75"/>
      <c r="AF728" s="75"/>
      <c r="AG728" s="75"/>
      <c r="AH728" s="75"/>
      <c r="AI728" s="75"/>
      <c r="AJ728" s="75"/>
      <c r="AK728" s="75"/>
      <c r="AL728" s="75"/>
      <c r="AM728" s="75"/>
      <c r="AN728" s="75"/>
      <c r="AO728" s="76">
        <f t="shared" si="38"/>
        <v>0</v>
      </c>
      <c r="AP728" s="592"/>
      <c r="AR728" s="409"/>
    </row>
    <row r="729" spans="2:44" s="83" customFormat="1">
      <c r="B729" s="79" t="s">
        <v>75</v>
      </c>
      <c r="C729" s="79"/>
      <c r="D729" s="80"/>
      <c r="E729" s="81"/>
      <c r="F729" s="81"/>
      <c r="G729" s="81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75"/>
      <c r="AD729" s="75"/>
      <c r="AE729" s="75"/>
      <c r="AF729" s="75"/>
      <c r="AG729" s="75"/>
      <c r="AH729" s="75"/>
      <c r="AI729" s="75"/>
      <c r="AJ729" s="75"/>
      <c r="AK729" s="75"/>
      <c r="AL729" s="75"/>
      <c r="AM729" s="75"/>
      <c r="AN729" s="75"/>
      <c r="AO729" s="76">
        <f t="shared" si="38"/>
        <v>0</v>
      </c>
      <c r="AP729" s="592"/>
      <c r="AR729" s="409"/>
    </row>
    <row r="730" spans="2:44" s="83" customFormat="1">
      <c r="B730" s="79" t="s">
        <v>75</v>
      </c>
      <c r="C730" s="79"/>
      <c r="D730" s="80"/>
      <c r="E730" s="81"/>
      <c r="F730" s="81"/>
      <c r="G730" s="81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75"/>
      <c r="AD730" s="166"/>
      <c r="AE730" s="75"/>
      <c r="AF730" s="75"/>
      <c r="AG730" s="75"/>
      <c r="AH730" s="75"/>
      <c r="AI730" s="75"/>
      <c r="AJ730" s="75"/>
      <c r="AK730" s="75"/>
      <c r="AL730" s="75"/>
      <c r="AM730" s="75"/>
      <c r="AN730" s="75"/>
      <c r="AO730" s="76">
        <f t="shared" si="38"/>
        <v>0</v>
      </c>
      <c r="AP730" s="592"/>
      <c r="AR730" s="409"/>
    </row>
    <row r="731" spans="2:44" s="83" customFormat="1">
      <c r="B731" s="79" t="s">
        <v>75</v>
      </c>
      <c r="C731" s="79"/>
      <c r="D731" s="80"/>
      <c r="E731" s="81"/>
      <c r="F731" s="81"/>
      <c r="G731" s="81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75"/>
      <c r="AD731" s="166"/>
      <c r="AE731" s="75"/>
      <c r="AF731" s="75"/>
      <c r="AG731" s="75"/>
      <c r="AH731" s="166"/>
      <c r="AI731" s="75"/>
      <c r="AJ731" s="75"/>
      <c r="AK731" s="75"/>
      <c r="AL731" s="75"/>
      <c r="AM731" s="75"/>
      <c r="AN731" s="75"/>
      <c r="AO731" s="76">
        <f t="shared" si="38"/>
        <v>0</v>
      </c>
      <c r="AP731" s="592"/>
      <c r="AR731" s="409"/>
    </row>
    <row r="732" spans="2:44" s="83" customFormat="1">
      <c r="B732" s="79" t="s">
        <v>75</v>
      </c>
      <c r="C732" s="79"/>
      <c r="D732" s="80"/>
      <c r="E732" s="81"/>
      <c r="F732" s="81"/>
      <c r="G732" s="81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75"/>
      <c r="AD732" s="75"/>
      <c r="AE732" s="75"/>
      <c r="AF732" s="75"/>
      <c r="AG732" s="75"/>
      <c r="AH732" s="166"/>
      <c r="AI732" s="75"/>
      <c r="AJ732" s="75"/>
      <c r="AK732" s="75"/>
      <c r="AL732" s="75"/>
      <c r="AM732" s="75"/>
      <c r="AN732" s="75"/>
      <c r="AO732" s="76">
        <f t="shared" si="38"/>
        <v>0</v>
      </c>
      <c r="AP732" s="592"/>
      <c r="AR732" s="409"/>
    </row>
    <row r="733" spans="2:44" s="83" customFormat="1">
      <c r="B733" s="79" t="s">
        <v>75</v>
      </c>
      <c r="C733" s="79"/>
      <c r="D733" s="80"/>
      <c r="E733" s="81"/>
      <c r="F733" s="81"/>
      <c r="G733" s="81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75"/>
      <c r="AD733" s="75"/>
      <c r="AE733" s="75"/>
      <c r="AF733" s="75"/>
      <c r="AG733" s="75"/>
      <c r="AH733" s="75"/>
      <c r="AI733" s="75"/>
      <c r="AJ733" s="75"/>
      <c r="AK733" s="166"/>
      <c r="AL733" s="75"/>
      <c r="AM733" s="75"/>
      <c r="AN733" s="75"/>
      <c r="AO733" s="76">
        <f t="shared" si="38"/>
        <v>0</v>
      </c>
      <c r="AP733" s="592"/>
      <c r="AR733" s="409"/>
    </row>
    <row r="734" spans="2:44" s="83" customFormat="1">
      <c r="B734" s="79" t="s">
        <v>75</v>
      </c>
      <c r="C734" s="79"/>
      <c r="D734" s="80"/>
      <c r="E734" s="81"/>
      <c r="F734" s="81"/>
      <c r="G734" s="81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75"/>
      <c r="AD734" s="75"/>
      <c r="AE734" s="75"/>
      <c r="AF734" s="75"/>
      <c r="AG734" s="75"/>
      <c r="AH734" s="75"/>
      <c r="AI734" s="75"/>
      <c r="AJ734" s="75"/>
      <c r="AK734" s="75"/>
      <c r="AL734" s="75"/>
      <c r="AM734" s="75"/>
      <c r="AN734" s="75"/>
      <c r="AO734" s="76">
        <f t="shared" si="38"/>
        <v>0</v>
      </c>
      <c r="AP734" s="592"/>
      <c r="AR734" s="409"/>
    </row>
    <row r="735" spans="2:44" s="83" customFormat="1">
      <c r="B735" s="79" t="s">
        <v>75</v>
      </c>
      <c r="C735" s="79"/>
      <c r="D735" s="80"/>
      <c r="E735" s="81"/>
      <c r="F735" s="81"/>
      <c r="G735" s="81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75"/>
      <c r="AD735" s="75"/>
      <c r="AE735" s="75"/>
      <c r="AF735" s="75"/>
      <c r="AG735" s="75"/>
      <c r="AH735" s="75"/>
      <c r="AI735" s="75"/>
      <c r="AJ735" s="75"/>
      <c r="AK735" s="75"/>
      <c r="AL735" s="75"/>
      <c r="AM735" s="75"/>
      <c r="AN735" s="75"/>
      <c r="AO735" s="76">
        <f t="shared" si="38"/>
        <v>0</v>
      </c>
      <c r="AP735" s="592"/>
      <c r="AR735" s="409"/>
    </row>
    <row r="736" spans="2:44" s="83" customFormat="1">
      <c r="B736" s="79" t="s">
        <v>75</v>
      </c>
      <c r="C736" s="79"/>
      <c r="D736" s="80"/>
      <c r="E736" s="81"/>
      <c r="F736" s="81"/>
      <c r="G736" s="81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75"/>
      <c r="AD736" s="75"/>
      <c r="AE736" s="75"/>
      <c r="AF736" s="75"/>
      <c r="AG736" s="75"/>
      <c r="AH736" s="75"/>
      <c r="AI736" s="75"/>
      <c r="AJ736" s="75"/>
      <c r="AK736" s="75"/>
      <c r="AL736" s="75"/>
      <c r="AM736" s="75"/>
      <c r="AN736" s="75"/>
      <c r="AO736" s="76">
        <f t="shared" si="38"/>
        <v>0</v>
      </c>
      <c r="AP736" s="592"/>
      <c r="AR736" s="409"/>
    </row>
    <row r="737" spans="2:44" s="83" customFormat="1">
      <c r="B737" s="79" t="s">
        <v>75</v>
      </c>
      <c r="C737" s="79"/>
      <c r="D737" s="80"/>
      <c r="E737" s="81"/>
      <c r="F737" s="81"/>
      <c r="G737" s="81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75"/>
      <c r="AD737" s="75"/>
      <c r="AE737" s="75"/>
      <c r="AF737" s="75"/>
      <c r="AG737" s="75"/>
      <c r="AH737" s="75"/>
      <c r="AI737" s="75"/>
      <c r="AJ737" s="75"/>
      <c r="AK737" s="75"/>
      <c r="AL737" s="75"/>
      <c r="AM737" s="75"/>
      <c r="AN737" s="75"/>
      <c r="AO737" s="76">
        <f t="shared" si="38"/>
        <v>0</v>
      </c>
      <c r="AP737" s="592"/>
      <c r="AR737" s="409"/>
    </row>
    <row r="738" spans="2:44" s="83" customFormat="1">
      <c r="B738" s="79" t="s">
        <v>75</v>
      </c>
      <c r="C738" s="79"/>
      <c r="D738" s="80"/>
      <c r="E738" s="81"/>
      <c r="F738" s="81"/>
      <c r="G738" s="81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75"/>
      <c r="AD738" s="75"/>
      <c r="AE738" s="75"/>
      <c r="AF738" s="75"/>
      <c r="AG738" s="75"/>
      <c r="AH738" s="75"/>
      <c r="AI738" s="75"/>
      <c r="AJ738" s="75"/>
      <c r="AK738" s="75"/>
      <c r="AL738" s="75"/>
      <c r="AM738" s="75"/>
      <c r="AN738" s="75"/>
      <c r="AO738" s="76">
        <f t="shared" si="38"/>
        <v>0</v>
      </c>
      <c r="AP738" s="592"/>
      <c r="AR738" s="409"/>
    </row>
    <row r="739" spans="2:44" s="83" customFormat="1">
      <c r="B739" s="79" t="s">
        <v>75</v>
      </c>
      <c r="C739" s="79"/>
      <c r="D739" s="80"/>
      <c r="E739" s="81"/>
      <c r="F739" s="81"/>
      <c r="G739" s="81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75"/>
      <c r="AD739" s="75"/>
      <c r="AE739" s="166"/>
      <c r="AF739" s="75"/>
      <c r="AG739" s="75"/>
      <c r="AH739" s="75"/>
      <c r="AI739" s="75"/>
      <c r="AJ739" s="75"/>
      <c r="AK739" s="75"/>
      <c r="AL739" s="75"/>
      <c r="AM739" s="75"/>
      <c r="AN739" s="75"/>
      <c r="AO739" s="76">
        <f t="shared" si="38"/>
        <v>0</v>
      </c>
      <c r="AP739" s="592"/>
      <c r="AR739" s="409"/>
    </row>
    <row r="740" spans="2:44" s="83" customFormat="1">
      <c r="B740" s="79" t="s">
        <v>75</v>
      </c>
      <c r="C740" s="79"/>
      <c r="D740" s="80"/>
      <c r="E740" s="80"/>
      <c r="F740" s="81"/>
      <c r="G740" s="81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75"/>
      <c r="AD740" s="75"/>
      <c r="AE740" s="75"/>
      <c r="AF740" s="75"/>
      <c r="AG740" s="166"/>
      <c r="AH740" s="166"/>
      <c r="AI740" s="75"/>
      <c r="AJ740" s="75"/>
      <c r="AK740" s="75"/>
      <c r="AL740" s="75"/>
      <c r="AM740" s="75"/>
      <c r="AN740" s="75"/>
      <c r="AO740" s="76">
        <f t="shared" si="38"/>
        <v>0</v>
      </c>
      <c r="AP740" s="592"/>
      <c r="AR740" s="409"/>
    </row>
    <row r="741" spans="2:44" s="83" customFormat="1">
      <c r="B741" s="79" t="s">
        <v>75</v>
      </c>
      <c r="C741" s="79"/>
      <c r="D741" s="80"/>
      <c r="E741" s="81"/>
      <c r="F741" s="81"/>
      <c r="G741" s="81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75"/>
      <c r="AD741" s="75"/>
      <c r="AE741" s="75"/>
      <c r="AF741" s="75"/>
      <c r="AG741" s="166"/>
      <c r="AH741" s="166"/>
      <c r="AI741" s="75"/>
      <c r="AJ741" s="75"/>
      <c r="AK741" s="75"/>
      <c r="AL741" s="75"/>
      <c r="AM741" s="75"/>
      <c r="AN741" s="75"/>
      <c r="AO741" s="76">
        <f t="shared" si="38"/>
        <v>0</v>
      </c>
      <c r="AP741" s="592"/>
      <c r="AR741" s="409"/>
    </row>
    <row r="742" spans="2:44" s="83" customFormat="1">
      <c r="B742" s="79" t="s">
        <v>75</v>
      </c>
      <c r="C742" s="79"/>
      <c r="D742" s="80"/>
      <c r="E742" s="81"/>
      <c r="F742" s="81"/>
      <c r="G742" s="81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75"/>
      <c r="AD742" s="75"/>
      <c r="AE742" s="166"/>
      <c r="AF742" s="75"/>
      <c r="AG742" s="166"/>
      <c r="AH742" s="166"/>
      <c r="AI742" s="75"/>
      <c r="AJ742" s="75"/>
      <c r="AK742" s="75"/>
      <c r="AL742" s="75"/>
      <c r="AM742" s="75"/>
      <c r="AN742" s="75"/>
      <c r="AO742" s="76">
        <f t="shared" ref="AO742:AO773" si="39">SUM(I742:AN742)</f>
        <v>0</v>
      </c>
      <c r="AP742" s="592"/>
      <c r="AR742" s="409"/>
    </row>
    <row r="743" spans="2:44" s="83" customFormat="1">
      <c r="B743" s="79" t="s">
        <v>75</v>
      </c>
      <c r="C743" s="79"/>
      <c r="D743" s="80"/>
      <c r="E743" s="80"/>
      <c r="F743" s="81"/>
      <c r="G743" s="81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75"/>
      <c r="AD743" s="75"/>
      <c r="AE743" s="75"/>
      <c r="AF743" s="75"/>
      <c r="AG743" s="166"/>
      <c r="AH743" s="166"/>
      <c r="AI743" s="75"/>
      <c r="AJ743" s="75"/>
      <c r="AK743" s="75"/>
      <c r="AL743" s="75"/>
      <c r="AM743" s="75"/>
      <c r="AN743" s="75"/>
      <c r="AO743" s="76">
        <f t="shared" si="39"/>
        <v>0</v>
      </c>
      <c r="AP743" s="592"/>
      <c r="AR743" s="409"/>
    </row>
    <row r="744" spans="2:44" s="83" customFormat="1">
      <c r="B744" s="79" t="s">
        <v>75</v>
      </c>
      <c r="C744" s="79"/>
      <c r="D744" s="80"/>
      <c r="E744" s="80"/>
      <c r="F744" s="81"/>
      <c r="G744" s="81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75"/>
      <c r="AD744" s="75"/>
      <c r="AE744" s="75"/>
      <c r="AF744" s="75"/>
      <c r="AG744" s="166"/>
      <c r="AH744" s="166"/>
      <c r="AI744" s="75"/>
      <c r="AJ744" s="75"/>
      <c r="AK744" s="75"/>
      <c r="AL744" s="75"/>
      <c r="AM744" s="75"/>
      <c r="AN744" s="75"/>
      <c r="AO744" s="76">
        <f t="shared" si="39"/>
        <v>0</v>
      </c>
      <c r="AP744" s="592"/>
      <c r="AR744" s="409"/>
    </row>
    <row r="745" spans="2:44" s="83" customFormat="1">
      <c r="B745" s="79" t="s">
        <v>75</v>
      </c>
      <c r="C745" s="79"/>
      <c r="D745" s="80"/>
      <c r="E745" s="80"/>
      <c r="F745" s="81"/>
      <c r="G745" s="81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75"/>
      <c r="AD745" s="75"/>
      <c r="AE745" s="75"/>
      <c r="AF745" s="75"/>
      <c r="AG745" s="166"/>
      <c r="AH745" s="166"/>
      <c r="AI745" s="75"/>
      <c r="AJ745" s="75"/>
      <c r="AK745" s="75"/>
      <c r="AL745" s="75"/>
      <c r="AM745" s="75"/>
      <c r="AN745" s="75"/>
      <c r="AO745" s="76">
        <f t="shared" si="39"/>
        <v>0</v>
      </c>
      <c r="AP745" s="592"/>
      <c r="AR745" s="409"/>
    </row>
    <row r="746" spans="2:44" s="83" customFormat="1">
      <c r="B746" s="79" t="s">
        <v>75</v>
      </c>
      <c r="C746" s="79"/>
      <c r="D746" s="80"/>
      <c r="E746" s="80"/>
      <c r="F746" s="81"/>
      <c r="G746" s="81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75"/>
      <c r="AD746" s="75"/>
      <c r="AE746" s="75"/>
      <c r="AF746" s="75"/>
      <c r="AG746" s="166"/>
      <c r="AH746" s="166"/>
      <c r="AI746" s="75"/>
      <c r="AJ746" s="75"/>
      <c r="AK746" s="75"/>
      <c r="AL746" s="75"/>
      <c r="AM746" s="75"/>
      <c r="AN746" s="75"/>
      <c r="AO746" s="76">
        <f t="shared" si="39"/>
        <v>0</v>
      </c>
      <c r="AP746" s="592"/>
      <c r="AR746" s="409"/>
    </row>
    <row r="747" spans="2:44" s="83" customFormat="1" ht="16.5" thickBot="1">
      <c r="B747" s="79" t="s">
        <v>75</v>
      </c>
      <c r="C747" s="79"/>
      <c r="D747" s="80"/>
      <c r="E747" s="81"/>
      <c r="F747" s="81"/>
      <c r="G747" s="81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75"/>
      <c r="AD747" s="75"/>
      <c r="AE747" s="75"/>
      <c r="AF747" s="75"/>
      <c r="AG747" s="75"/>
      <c r="AH747" s="75"/>
      <c r="AI747" s="75"/>
      <c r="AJ747" s="75"/>
      <c r="AK747" s="75"/>
      <c r="AL747" s="75"/>
      <c r="AM747" s="75"/>
      <c r="AN747" s="75"/>
      <c r="AO747" s="76">
        <f t="shared" si="39"/>
        <v>0</v>
      </c>
      <c r="AP747" s="593"/>
      <c r="AR747" s="409"/>
    </row>
    <row r="748" spans="2:44" s="83" customFormat="1" ht="15">
      <c r="B748" s="79" t="s">
        <v>75</v>
      </c>
      <c r="C748" s="79"/>
      <c r="D748" s="80"/>
      <c r="E748" s="81"/>
      <c r="F748" s="81"/>
      <c r="G748" s="81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75"/>
      <c r="AD748" s="75"/>
      <c r="AE748" s="75"/>
      <c r="AF748" s="75"/>
      <c r="AG748" s="75"/>
      <c r="AH748" s="75"/>
      <c r="AI748" s="75"/>
      <c r="AJ748" s="75"/>
      <c r="AK748" s="75"/>
      <c r="AL748" s="75"/>
      <c r="AM748" s="75"/>
      <c r="AN748" s="75"/>
      <c r="AO748" s="76">
        <f t="shared" si="39"/>
        <v>0</v>
      </c>
      <c r="AP748" s="489"/>
    </row>
    <row r="749" spans="2:44" s="83" customFormat="1">
      <c r="B749" s="79" t="s">
        <v>75</v>
      </c>
      <c r="C749" s="79"/>
      <c r="D749" s="80"/>
      <c r="E749" s="81"/>
      <c r="F749" s="81"/>
      <c r="G749" s="81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75"/>
      <c r="AD749" s="75"/>
      <c r="AE749" s="166"/>
      <c r="AF749" s="75"/>
      <c r="AG749" s="75"/>
      <c r="AH749" s="75"/>
      <c r="AI749" s="75"/>
      <c r="AJ749" s="75"/>
      <c r="AK749" s="75"/>
      <c r="AL749" s="75"/>
      <c r="AM749" s="75"/>
      <c r="AN749" s="75"/>
      <c r="AO749" s="76">
        <f t="shared" si="39"/>
        <v>0</v>
      </c>
      <c r="AP749" s="489"/>
    </row>
    <row r="750" spans="2:44" s="83" customFormat="1">
      <c r="B750" s="79" t="s">
        <v>75</v>
      </c>
      <c r="C750" s="79"/>
      <c r="D750" s="80"/>
      <c r="E750" s="80"/>
      <c r="F750" s="81"/>
      <c r="G750" s="81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75"/>
      <c r="AD750" s="75"/>
      <c r="AE750" s="75"/>
      <c r="AF750" s="75"/>
      <c r="AG750" s="166"/>
      <c r="AH750" s="166"/>
      <c r="AI750" s="75"/>
      <c r="AJ750" s="75"/>
      <c r="AK750" s="75"/>
      <c r="AL750" s="75"/>
      <c r="AM750" s="75"/>
      <c r="AN750" s="75"/>
      <c r="AO750" s="76">
        <f t="shared" si="39"/>
        <v>0</v>
      </c>
      <c r="AP750" s="489"/>
    </row>
    <row r="751" spans="2:44" s="83" customFormat="1">
      <c r="B751" s="79" t="s">
        <v>75</v>
      </c>
      <c r="C751" s="79"/>
      <c r="D751" s="80"/>
      <c r="E751" s="81"/>
      <c r="F751" s="81"/>
      <c r="G751" s="81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75"/>
      <c r="AD751" s="75"/>
      <c r="AE751" s="75"/>
      <c r="AF751" s="75"/>
      <c r="AG751" s="166"/>
      <c r="AH751" s="166"/>
      <c r="AI751" s="75"/>
      <c r="AJ751" s="75"/>
      <c r="AK751" s="75"/>
      <c r="AL751" s="75"/>
      <c r="AM751" s="75"/>
      <c r="AN751" s="75"/>
      <c r="AO751" s="76">
        <f t="shared" si="39"/>
        <v>0</v>
      </c>
      <c r="AP751" s="489"/>
    </row>
    <row r="752" spans="2:44" s="83" customFormat="1">
      <c r="B752" s="79" t="s">
        <v>75</v>
      </c>
      <c r="C752" s="79"/>
      <c r="D752" s="80"/>
      <c r="E752" s="81"/>
      <c r="F752" s="81"/>
      <c r="G752" s="81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75"/>
      <c r="AD752" s="75"/>
      <c r="AE752" s="166"/>
      <c r="AF752" s="75"/>
      <c r="AG752" s="166"/>
      <c r="AH752" s="166"/>
      <c r="AI752" s="75"/>
      <c r="AJ752" s="75"/>
      <c r="AK752" s="75"/>
      <c r="AL752" s="75"/>
      <c r="AM752" s="75"/>
      <c r="AN752" s="75"/>
      <c r="AO752" s="76">
        <f t="shared" si="39"/>
        <v>0</v>
      </c>
      <c r="AP752" s="489"/>
    </row>
    <row r="753" spans="2:42" s="83" customFormat="1">
      <c r="B753" s="79" t="s">
        <v>75</v>
      </c>
      <c r="C753" s="79"/>
      <c r="D753" s="80"/>
      <c r="E753" s="80"/>
      <c r="F753" s="81"/>
      <c r="G753" s="81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75"/>
      <c r="AD753" s="75"/>
      <c r="AE753" s="75"/>
      <c r="AF753" s="75"/>
      <c r="AG753" s="166"/>
      <c r="AH753" s="166"/>
      <c r="AI753" s="75"/>
      <c r="AJ753" s="75"/>
      <c r="AK753" s="75"/>
      <c r="AL753" s="75"/>
      <c r="AM753" s="75"/>
      <c r="AN753" s="75"/>
      <c r="AO753" s="76">
        <f t="shared" si="39"/>
        <v>0</v>
      </c>
      <c r="AP753" s="489"/>
    </row>
    <row r="754" spans="2:42" s="83" customFormat="1">
      <c r="B754" s="79" t="s">
        <v>75</v>
      </c>
      <c r="C754" s="79"/>
      <c r="D754" s="80"/>
      <c r="E754" s="80"/>
      <c r="F754" s="81"/>
      <c r="G754" s="81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75"/>
      <c r="AD754" s="75"/>
      <c r="AE754" s="75"/>
      <c r="AF754" s="75"/>
      <c r="AG754" s="166"/>
      <c r="AH754" s="166"/>
      <c r="AI754" s="75"/>
      <c r="AJ754" s="75"/>
      <c r="AK754" s="75"/>
      <c r="AL754" s="75"/>
      <c r="AM754" s="75"/>
      <c r="AN754" s="75"/>
      <c r="AO754" s="76">
        <f t="shared" si="39"/>
        <v>0</v>
      </c>
      <c r="AP754" s="489"/>
    </row>
    <row r="755" spans="2:42" s="83" customFormat="1">
      <c r="B755" s="79" t="s">
        <v>75</v>
      </c>
      <c r="C755" s="79"/>
      <c r="D755" s="80"/>
      <c r="E755" s="80"/>
      <c r="F755" s="81"/>
      <c r="G755" s="81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75"/>
      <c r="AD755" s="75"/>
      <c r="AE755" s="75"/>
      <c r="AF755" s="75"/>
      <c r="AG755" s="166"/>
      <c r="AH755" s="166"/>
      <c r="AI755" s="75"/>
      <c r="AJ755" s="75"/>
      <c r="AK755" s="75"/>
      <c r="AL755" s="75"/>
      <c r="AM755" s="75"/>
      <c r="AN755" s="75"/>
      <c r="AO755" s="76">
        <f t="shared" si="39"/>
        <v>0</v>
      </c>
      <c r="AP755" s="489"/>
    </row>
    <row r="756" spans="2:42" s="83" customFormat="1">
      <c r="B756" s="79" t="s">
        <v>75</v>
      </c>
      <c r="C756" s="79"/>
      <c r="D756" s="80"/>
      <c r="E756" s="80"/>
      <c r="F756" s="81"/>
      <c r="G756" s="81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75"/>
      <c r="AD756" s="75"/>
      <c r="AE756" s="75"/>
      <c r="AF756" s="75"/>
      <c r="AG756" s="166"/>
      <c r="AH756" s="166"/>
      <c r="AI756" s="75"/>
      <c r="AJ756" s="75"/>
      <c r="AK756" s="75"/>
      <c r="AL756" s="75"/>
      <c r="AM756" s="75"/>
      <c r="AN756" s="75"/>
      <c r="AO756" s="76">
        <f t="shared" si="39"/>
        <v>0</v>
      </c>
      <c r="AP756" s="489"/>
    </row>
    <row r="757" spans="2:42" s="83" customFormat="1">
      <c r="B757" s="79" t="s">
        <v>75</v>
      </c>
      <c r="C757" s="79"/>
      <c r="D757" s="80"/>
      <c r="E757" s="81"/>
      <c r="F757" s="81"/>
      <c r="G757" s="81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75"/>
      <c r="AD757" s="75"/>
      <c r="AE757" s="75"/>
      <c r="AF757" s="75"/>
      <c r="AG757" s="166"/>
      <c r="AH757" s="166"/>
      <c r="AI757" s="75"/>
      <c r="AJ757" s="75"/>
      <c r="AK757" s="75"/>
      <c r="AL757" s="75"/>
      <c r="AM757" s="75"/>
      <c r="AN757" s="75"/>
      <c r="AO757" s="76">
        <f t="shared" si="39"/>
        <v>0</v>
      </c>
      <c r="AP757" s="489"/>
    </row>
    <row r="758" spans="2:42" s="83" customFormat="1">
      <c r="B758" s="79" t="s">
        <v>75</v>
      </c>
      <c r="C758" s="79"/>
      <c r="D758" s="80"/>
      <c r="E758" s="81"/>
      <c r="F758" s="81"/>
      <c r="G758" s="81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75"/>
      <c r="AD758" s="75"/>
      <c r="AE758" s="75"/>
      <c r="AF758" s="75"/>
      <c r="AG758" s="166"/>
      <c r="AH758" s="166"/>
      <c r="AI758" s="75"/>
      <c r="AJ758" s="75"/>
      <c r="AK758" s="75"/>
      <c r="AL758" s="75"/>
      <c r="AM758" s="75"/>
      <c r="AN758" s="75"/>
      <c r="AO758" s="76">
        <f t="shared" si="39"/>
        <v>0</v>
      </c>
      <c r="AP758" s="489"/>
    </row>
    <row r="759" spans="2:42" s="83" customFormat="1">
      <c r="B759" s="79" t="s">
        <v>75</v>
      </c>
      <c r="C759" s="79"/>
      <c r="D759" s="80"/>
      <c r="E759" s="81"/>
      <c r="F759" s="81"/>
      <c r="G759" s="81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75"/>
      <c r="AD759" s="75"/>
      <c r="AE759" s="75"/>
      <c r="AF759" s="75"/>
      <c r="AG759" s="166"/>
      <c r="AH759" s="166"/>
      <c r="AI759" s="75"/>
      <c r="AJ759" s="75"/>
      <c r="AK759" s="75"/>
      <c r="AL759" s="75"/>
      <c r="AM759" s="75"/>
      <c r="AN759" s="75"/>
      <c r="AO759" s="76">
        <f t="shared" si="39"/>
        <v>0</v>
      </c>
      <c r="AP759" s="489"/>
    </row>
    <row r="760" spans="2:42" s="83" customFormat="1">
      <c r="B760" s="79" t="s">
        <v>75</v>
      </c>
      <c r="C760" s="79"/>
      <c r="D760" s="80"/>
      <c r="E760" s="81"/>
      <c r="F760" s="81"/>
      <c r="G760" s="81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75"/>
      <c r="AD760" s="75"/>
      <c r="AE760" s="75"/>
      <c r="AF760" s="75"/>
      <c r="AG760" s="166"/>
      <c r="AH760" s="166"/>
      <c r="AI760" s="75"/>
      <c r="AJ760" s="75"/>
      <c r="AK760" s="75"/>
      <c r="AL760" s="75"/>
      <c r="AM760" s="75"/>
      <c r="AN760" s="75"/>
      <c r="AO760" s="76">
        <f t="shared" si="39"/>
        <v>0</v>
      </c>
      <c r="AP760" s="489"/>
    </row>
    <row r="761" spans="2:42" s="83" customFormat="1">
      <c r="B761" s="79" t="s">
        <v>75</v>
      </c>
      <c r="C761" s="79"/>
      <c r="D761" s="80"/>
      <c r="E761" s="81"/>
      <c r="F761" s="81"/>
      <c r="G761" s="81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75"/>
      <c r="AD761" s="75"/>
      <c r="AE761" s="75"/>
      <c r="AF761" s="75"/>
      <c r="AG761" s="166"/>
      <c r="AH761" s="166"/>
      <c r="AI761" s="75"/>
      <c r="AJ761" s="75"/>
      <c r="AK761" s="75"/>
      <c r="AL761" s="75"/>
      <c r="AM761" s="75"/>
      <c r="AN761" s="75"/>
      <c r="AO761" s="76">
        <f t="shared" si="39"/>
        <v>0</v>
      </c>
      <c r="AP761" s="489"/>
    </row>
    <row r="762" spans="2:42" s="83" customFormat="1">
      <c r="B762" s="79" t="s">
        <v>75</v>
      </c>
      <c r="C762" s="79"/>
      <c r="D762" s="80"/>
      <c r="E762" s="81"/>
      <c r="F762" s="81"/>
      <c r="G762" s="81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75"/>
      <c r="AD762" s="75"/>
      <c r="AE762" s="75"/>
      <c r="AF762" s="75"/>
      <c r="AG762" s="166"/>
      <c r="AH762" s="166"/>
      <c r="AI762" s="75"/>
      <c r="AJ762" s="75"/>
      <c r="AK762" s="75"/>
      <c r="AL762" s="75"/>
      <c r="AM762" s="75"/>
      <c r="AN762" s="75"/>
      <c r="AO762" s="76">
        <f t="shared" si="39"/>
        <v>0</v>
      </c>
      <c r="AP762" s="489"/>
    </row>
    <row r="763" spans="2:42" s="83" customFormat="1">
      <c r="B763" s="79" t="s">
        <v>75</v>
      </c>
      <c r="C763" s="79"/>
      <c r="D763" s="80"/>
      <c r="E763" s="81"/>
      <c r="F763" s="81"/>
      <c r="G763" s="81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75"/>
      <c r="AD763" s="75"/>
      <c r="AE763" s="75"/>
      <c r="AF763" s="75"/>
      <c r="AG763" s="166"/>
      <c r="AH763" s="166"/>
      <c r="AI763" s="75"/>
      <c r="AJ763" s="75"/>
      <c r="AK763" s="75"/>
      <c r="AL763" s="75"/>
      <c r="AM763" s="75"/>
      <c r="AN763" s="75"/>
      <c r="AO763" s="76">
        <f t="shared" si="39"/>
        <v>0</v>
      </c>
      <c r="AP763" s="489"/>
    </row>
    <row r="764" spans="2:42" s="83" customFormat="1">
      <c r="B764" s="79" t="s">
        <v>75</v>
      </c>
      <c r="C764" s="79"/>
      <c r="D764" s="80"/>
      <c r="E764" s="81"/>
      <c r="F764" s="81"/>
      <c r="G764" s="81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75"/>
      <c r="AD764" s="75"/>
      <c r="AE764" s="75"/>
      <c r="AF764" s="75"/>
      <c r="AG764" s="166"/>
      <c r="AH764" s="166"/>
      <c r="AI764" s="75"/>
      <c r="AJ764" s="75"/>
      <c r="AK764" s="75"/>
      <c r="AL764" s="75"/>
      <c r="AM764" s="75"/>
      <c r="AN764" s="75"/>
      <c r="AO764" s="76">
        <f t="shared" si="39"/>
        <v>0</v>
      </c>
      <c r="AP764" s="489"/>
    </row>
    <row r="765" spans="2:42" s="83" customFormat="1">
      <c r="B765" s="79" t="s">
        <v>75</v>
      </c>
      <c r="C765" s="79"/>
      <c r="D765" s="80"/>
      <c r="E765" s="81"/>
      <c r="F765" s="81"/>
      <c r="G765" s="81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75"/>
      <c r="AD765" s="75"/>
      <c r="AE765" s="75"/>
      <c r="AF765" s="75"/>
      <c r="AG765" s="166"/>
      <c r="AH765" s="166"/>
      <c r="AI765" s="75"/>
      <c r="AJ765" s="75"/>
      <c r="AK765" s="75"/>
      <c r="AL765" s="75"/>
      <c r="AM765" s="75"/>
      <c r="AN765" s="75"/>
      <c r="AO765" s="76">
        <f t="shared" si="39"/>
        <v>0</v>
      </c>
      <c r="AP765" s="489"/>
    </row>
    <row r="766" spans="2:42" s="83" customFormat="1">
      <c r="B766" s="79" t="s">
        <v>75</v>
      </c>
      <c r="C766" s="79"/>
      <c r="D766" s="80"/>
      <c r="E766" s="81"/>
      <c r="F766" s="81"/>
      <c r="G766" s="81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75"/>
      <c r="AD766" s="75"/>
      <c r="AE766" s="75"/>
      <c r="AF766" s="75"/>
      <c r="AG766" s="166"/>
      <c r="AH766" s="166"/>
      <c r="AI766" s="75"/>
      <c r="AJ766" s="75"/>
      <c r="AK766" s="75"/>
      <c r="AL766" s="75"/>
      <c r="AM766" s="75"/>
      <c r="AN766" s="75"/>
      <c r="AO766" s="76">
        <f t="shared" si="39"/>
        <v>0</v>
      </c>
      <c r="AP766" s="489"/>
    </row>
    <row r="767" spans="2:42" s="83" customFormat="1">
      <c r="B767" s="79" t="s">
        <v>75</v>
      </c>
      <c r="C767" s="79"/>
      <c r="D767" s="80"/>
      <c r="E767" s="81"/>
      <c r="F767" s="81"/>
      <c r="G767" s="81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75"/>
      <c r="AD767" s="75"/>
      <c r="AE767" s="75"/>
      <c r="AF767" s="75"/>
      <c r="AG767" s="166"/>
      <c r="AH767" s="166"/>
      <c r="AI767" s="75"/>
      <c r="AJ767" s="75"/>
      <c r="AK767" s="75"/>
      <c r="AL767" s="75"/>
      <c r="AM767" s="75"/>
      <c r="AN767" s="75"/>
      <c r="AO767" s="76">
        <f t="shared" si="39"/>
        <v>0</v>
      </c>
      <c r="AP767" s="489"/>
    </row>
    <row r="768" spans="2:42" s="83" customFormat="1">
      <c r="B768" s="79" t="s">
        <v>75</v>
      </c>
      <c r="C768" s="79"/>
      <c r="D768" s="80"/>
      <c r="E768" s="81"/>
      <c r="F768" s="81"/>
      <c r="G768" s="81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75"/>
      <c r="AD768" s="75"/>
      <c r="AE768" s="75"/>
      <c r="AF768" s="75"/>
      <c r="AG768" s="166"/>
      <c r="AH768" s="166"/>
      <c r="AI768" s="75"/>
      <c r="AJ768" s="75"/>
      <c r="AK768" s="75"/>
      <c r="AL768" s="75"/>
      <c r="AM768" s="75"/>
      <c r="AN768" s="75"/>
      <c r="AO768" s="76">
        <f t="shared" si="39"/>
        <v>0</v>
      </c>
      <c r="AP768" s="489"/>
    </row>
    <row r="769" spans="2:42" s="83" customFormat="1">
      <c r="B769" s="79" t="s">
        <v>75</v>
      </c>
      <c r="C769" s="79"/>
      <c r="D769" s="80"/>
      <c r="E769" s="81"/>
      <c r="F769" s="81"/>
      <c r="G769" s="81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75"/>
      <c r="AD769" s="75"/>
      <c r="AE769" s="75"/>
      <c r="AF769" s="75"/>
      <c r="AG769" s="166"/>
      <c r="AH769" s="166"/>
      <c r="AI769" s="75"/>
      <c r="AJ769" s="75"/>
      <c r="AK769" s="75"/>
      <c r="AL769" s="75"/>
      <c r="AM769" s="75"/>
      <c r="AN769" s="75"/>
      <c r="AO769" s="76">
        <f t="shared" si="39"/>
        <v>0</v>
      </c>
      <c r="AP769" s="489"/>
    </row>
    <row r="770" spans="2:42" s="83" customFormat="1">
      <c r="B770" s="79" t="s">
        <v>75</v>
      </c>
      <c r="C770" s="79"/>
      <c r="D770" s="80"/>
      <c r="E770" s="81"/>
      <c r="F770" s="81"/>
      <c r="G770" s="81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75"/>
      <c r="AD770" s="75"/>
      <c r="AE770" s="75"/>
      <c r="AF770" s="75"/>
      <c r="AG770" s="166"/>
      <c r="AH770" s="166"/>
      <c r="AI770" s="75"/>
      <c r="AJ770" s="75"/>
      <c r="AK770" s="75"/>
      <c r="AL770" s="75"/>
      <c r="AM770" s="75"/>
      <c r="AN770" s="75"/>
      <c r="AO770" s="76">
        <f t="shared" si="39"/>
        <v>0</v>
      </c>
      <c r="AP770" s="489"/>
    </row>
    <row r="771" spans="2:42" s="83" customFormat="1">
      <c r="B771" s="79" t="s">
        <v>75</v>
      </c>
      <c r="C771" s="79"/>
      <c r="D771" s="80"/>
      <c r="E771" s="81"/>
      <c r="F771" s="81"/>
      <c r="G771" s="81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75"/>
      <c r="AD771" s="75"/>
      <c r="AE771" s="75"/>
      <c r="AF771" s="75"/>
      <c r="AG771" s="166"/>
      <c r="AH771" s="166"/>
      <c r="AI771" s="75"/>
      <c r="AJ771" s="75"/>
      <c r="AK771" s="166"/>
      <c r="AL771" s="75"/>
      <c r="AM771" s="75"/>
      <c r="AN771" s="75"/>
      <c r="AO771" s="76">
        <f t="shared" si="39"/>
        <v>0</v>
      </c>
      <c r="AP771" s="489"/>
    </row>
    <row r="772" spans="2:42" s="83" customFormat="1">
      <c r="B772" s="79" t="s">
        <v>75</v>
      </c>
      <c r="C772" s="79"/>
      <c r="D772" s="80"/>
      <c r="E772" s="81"/>
      <c r="F772" s="81"/>
      <c r="G772" s="81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75"/>
      <c r="AD772" s="75"/>
      <c r="AE772" s="75"/>
      <c r="AF772" s="75"/>
      <c r="AG772" s="166"/>
      <c r="AH772" s="166"/>
      <c r="AI772" s="75"/>
      <c r="AJ772" s="75"/>
      <c r="AK772" s="75"/>
      <c r="AL772" s="75"/>
      <c r="AM772" s="75"/>
      <c r="AN772" s="75"/>
      <c r="AO772" s="76">
        <f t="shared" si="39"/>
        <v>0</v>
      </c>
      <c r="AP772" s="489"/>
    </row>
    <row r="773" spans="2:42" s="83" customFormat="1">
      <c r="B773" s="79" t="s">
        <v>75</v>
      </c>
      <c r="C773" s="79"/>
      <c r="D773" s="80"/>
      <c r="E773" s="81"/>
      <c r="F773" s="81"/>
      <c r="G773" s="81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75"/>
      <c r="AD773" s="75"/>
      <c r="AE773" s="75"/>
      <c r="AF773" s="75"/>
      <c r="AG773" s="166"/>
      <c r="AH773" s="166"/>
      <c r="AI773" s="75"/>
      <c r="AJ773" s="75"/>
      <c r="AK773" s="75"/>
      <c r="AL773" s="75"/>
      <c r="AM773" s="75"/>
      <c r="AN773" s="75"/>
      <c r="AO773" s="76">
        <f t="shared" si="39"/>
        <v>0</v>
      </c>
      <c r="AP773" s="489"/>
    </row>
    <row r="774" spans="2:42" s="83" customFormat="1" ht="16.5" thickBot="1">
      <c r="B774" s="79" t="s">
        <v>75</v>
      </c>
      <c r="C774" s="79"/>
      <c r="D774" s="80"/>
      <c r="E774" s="81"/>
      <c r="F774" s="81"/>
      <c r="G774" s="81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75"/>
      <c r="AD774" s="75"/>
      <c r="AE774" s="75"/>
      <c r="AF774" s="75"/>
      <c r="AG774" s="166"/>
      <c r="AH774" s="166"/>
      <c r="AI774" s="75"/>
      <c r="AJ774" s="75"/>
      <c r="AK774" s="75"/>
      <c r="AL774" s="75"/>
      <c r="AM774" s="75"/>
      <c r="AN774" s="75"/>
      <c r="AO774" s="76">
        <f t="shared" ref="AO774:AO793" si="40">SUM(I774:AN774)</f>
        <v>0</v>
      </c>
      <c r="AP774" s="439"/>
    </row>
    <row r="775" spans="2:42" s="83" customFormat="1">
      <c r="B775" s="79" t="s">
        <v>75</v>
      </c>
      <c r="C775" s="82"/>
      <c r="D775" s="81"/>
      <c r="E775" s="81"/>
      <c r="F775" s="81"/>
      <c r="G775" s="81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75"/>
      <c r="AD775" s="75"/>
      <c r="AE775" s="75"/>
      <c r="AF775" s="75"/>
      <c r="AG775" s="166"/>
      <c r="AH775" s="166"/>
      <c r="AI775" s="75"/>
      <c r="AJ775" s="75"/>
      <c r="AK775" s="75"/>
      <c r="AL775" s="75"/>
      <c r="AM775" s="75"/>
      <c r="AN775" s="75"/>
      <c r="AO775" s="76">
        <f t="shared" si="40"/>
        <v>0</v>
      </c>
      <c r="AP775" s="561">
        <f>SUM(AO775:AO792)</f>
        <v>0</v>
      </c>
    </row>
    <row r="776" spans="2:42" s="83" customFormat="1">
      <c r="B776" s="79" t="s">
        <v>75</v>
      </c>
      <c r="C776" s="82"/>
      <c r="D776" s="81"/>
      <c r="E776" s="81"/>
      <c r="F776" s="81"/>
      <c r="G776" s="81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75"/>
      <c r="AD776" s="75"/>
      <c r="AE776" s="75"/>
      <c r="AF776" s="75"/>
      <c r="AG776" s="166"/>
      <c r="AH776" s="166"/>
      <c r="AI776" s="75"/>
      <c r="AJ776" s="75"/>
      <c r="AK776" s="75"/>
      <c r="AL776" s="75"/>
      <c r="AM776" s="75"/>
      <c r="AN776" s="75"/>
      <c r="AO776" s="76">
        <f t="shared" si="40"/>
        <v>0</v>
      </c>
      <c r="AP776" s="562"/>
    </row>
    <row r="777" spans="2:42" s="83" customFormat="1">
      <c r="B777" s="79" t="s">
        <v>75</v>
      </c>
      <c r="C777" s="82"/>
      <c r="D777" s="81"/>
      <c r="E777" s="81"/>
      <c r="F777" s="81"/>
      <c r="G777" s="81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75"/>
      <c r="AD777" s="75"/>
      <c r="AE777" s="75"/>
      <c r="AF777" s="75"/>
      <c r="AG777" s="166"/>
      <c r="AH777" s="166"/>
      <c r="AI777" s="75"/>
      <c r="AJ777" s="75"/>
      <c r="AK777" s="75"/>
      <c r="AL777" s="75"/>
      <c r="AM777" s="75"/>
      <c r="AN777" s="75"/>
      <c r="AO777" s="76">
        <f t="shared" si="40"/>
        <v>0</v>
      </c>
      <c r="AP777" s="562"/>
    </row>
    <row r="778" spans="2:42" s="83" customFormat="1">
      <c r="B778" s="79" t="s">
        <v>75</v>
      </c>
      <c r="C778" s="82"/>
      <c r="D778" s="81"/>
      <c r="E778" s="81"/>
      <c r="F778" s="81"/>
      <c r="G778" s="81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75"/>
      <c r="AD778" s="75"/>
      <c r="AE778" s="75"/>
      <c r="AF778" s="75"/>
      <c r="AG778" s="166"/>
      <c r="AH778" s="166"/>
      <c r="AI778" s="75"/>
      <c r="AJ778" s="75"/>
      <c r="AK778" s="75"/>
      <c r="AL778" s="75"/>
      <c r="AM778" s="75"/>
      <c r="AN778" s="75"/>
      <c r="AO778" s="76">
        <f t="shared" si="40"/>
        <v>0</v>
      </c>
      <c r="AP778" s="562"/>
    </row>
    <row r="779" spans="2:42" s="83" customFormat="1">
      <c r="B779" s="79" t="s">
        <v>75</v>
      </c>
      <c r="C779" s="82"/>
      <c r="D779" s="81"/>
      <c r="E779" s="81"/>
      <c r="F779" s="81"/>
      <c r="G779" s="81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75"/>
      <c r="AD779" s="75"/>
      <c r="AE779" s="75"/>
      <c r="AF779" s="75"/>
      <c r="AG779" s="166"/>
      <c r="AH779" s="166"/>
      <c r="AI779" s="75"/>
      <c r="AJ779" s="75"/>
      <c r="AK779" s="75"/>
      <c r="AL779" s="75"/>
      <c r="AM779" s="75"/>
      <c r="AN779" s="75"/>
      <c r="AO779" s="76">
        <f t="shared" si="40"/>
        <v>0</v>
      </c>
      <c r="AP779" s="562"/>
    </row>
    <row r="780" spans="2:42" s="83" customFormat="1">
      <c r="B780" s="79" t="s">
        <v>75</v>
      </c>
      <c r="C780" s="82"/>
      <c r="D780" s="81"/>
      <c r="E780" s="81"/>
      <c r="F780" s="81"/>
      <c r="G780" s="81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75"/>
      <c r="AD780" s="75"/>
      <c r="AE780" s="75"/>
      <c r="AF780" s="75"/>
      <c r="AG780" s="166"/>
      <c r="AH780" s="166"/>
      <c r="AI780" s="75"/>
      <c r="AJ780" s="75"/>
      <c r="AK780" s="75"/>
      <c r="AL780" s="75"/>
      <c r="AM780" s="75"/>
      <c r="AN780" s="75"/>
      <c r="AO780" s="76">
        <f t="shared" si="40"/>
        <v>0</v>
      </c>
      <c r="AP780" s="562"/>
    </row>
    <row r="781" spans="2:42" s="83" customFormat="1">
      <c r="B781" s="79" t="s">
        <v>75</v>
      </c>
      <c r="C781" s="82"/>
      <c r="D781" s="81"/>
      <c r="E781" s="81"/>
      <c r="F781" s="81"/>
      <c r="G781" s="81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75"/>
      <c r="AD781" s="75"/>
      <c r="AE781" s="75"/>
      <c r="AF781" s="75"/>
      <c r="AG781" s="166"/>
      <c r="AH781" s="166"/>
      <c r="AI781" s="75"/>
      <c r="AJ781" s="75"/>
      <c r="AK781" s="75"/>
      <c r="AL781" s="75"/>
      <c r="AM781" s="75"/>
      <c r="AN781" s="75"/>
      <c r="AO781" s="76">
        <f t="shared" si="40"/>
        <v>0</v>
      </c>
      <c r="AP781" s="562"/>
    </row>
    <row r="782" spans="2:42" s="83" customFormat="1">
      <c r="B782" s="79" t="s">
        <v>75</v>
      </c>
      <c r="C782" s="82"/>
      <c r="D782" s="81"/>
      <c r="E782" s="81"/>
      <c r="F782" s="81"/>
      <c r="G782" s="81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75"/>
      <c r="AD782" s="75"/>
      <c r="AE782" s="75"/>
      <c r="AF782" s="75"/>
      <c r="AG782" s="166"/>
      <c r="AH782" s="166"/>
      <c r="AI782" s="75"/>
      <c r="AJ782" s="75"/>
      <c r="AK782" s="75"/>
      <c r="AL782" s="75"/>
      <c r="AM782" s="75"/>
      <c r="AN782" s="75"/>
      <c r="AO782" s="76">
        <f t="shared" si="40"/>
        <v>0</v>
      </c>
      <c r="AP782" s="562"/>
    </row>
    <row r="783" spans="2:42" s="83" customFormat="1">
      <c r="B783" s="79" t="s">
        <v>75</v>
      </c>
      <c r="C783" s="82"/>
      <c r="D783" s="81"/>
      <c r="E783" s="81"/>
      <c r="F783" s="81"/>
      <c r="G783" s="81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75"/>
      <c r="AD783" s="75"/>
      <c r="AE783" s="75"/>
      <c r="AF783" s="75"/>
      <c r="AG783" s="166"/>
      <c r="AH783" s="166"/>
      <c r="AI783" s="75"/>
      <c r="AJ783" s="75"/>
      <c r="AK783" s="75"/>
      <c r="AL783" s="75"/>
      <c r="AM783" s="75"/>
      <c r="AN783" s="75"/>
      <c r="AO783" s="76">
        <f t="shared" si="40"/>
        <v>0</v>
      </c>
      <c r="AP783" s="562"/>
    </row>
    <row r="784" spans="2:42" s="83" customFormat="1">
      <c r="B784" s="79" t="s">
        <v>75</v>
      </c>
      <c r="C784" s="82"/>
      <c r="D784" s="81"/>
      <c r="E784" s="81"/>
      <c r="F784" s="81"/>
      <c r="G784" s="81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75"/>
      <c r="AD784" s="75"/>
      <c r="AE784" s="75"/>
      <c r="AF784" s="75"/>
      <c r="AG784" s="166"/>
      <c r="AH784" s="166"/>
      <c r="AI784" s="75"/>
      <c r="AJ784" s="75"/>
      <c r="AK784" s="75"/>
      <c r="AL784" s="75"/>
      <c r="AM784" s="75"/>
      <c r="AN784" s="75"/>
      <c r="AO784" s="76">
        <f t="shared" si="40"/>
        <v>0</v>
      </c>
      <c r="AP784" s="562"/>
    </row>
    <row r="785" spans="2:42" s="83" customFormat="1">
      <c r="B785" s="79" t="s">
        <v>75</v>
      </c>
      <c r="C785" s="82"/>
      <c r="D785" s="81"/>
      <c r="E785" s="81"/>
      <c r="F785" s="81"/>
      <c r="G785" s="81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75"/>
      <c r="AD785" s="75"/>
      <c r="AE785" s="75"/>
      <c r="AF785" s="75"/>
      <c r="AG785" s="166"/>
      <c r="AH785" s="166"/>
      <c r="AI785" s="75"/>
      <c r="AJ785" s="75"/>
      <c r="AK785" s="75"/>
      <c r="AL785" s="75"/>
      <c r="AM785" s="75"/>
      <c r="AN785" s="75"/>
      <c r="AO785" s="76">
        <f t="shared" si="40"/>
        <v>0</v>
      </c>
      <c r="AP785" s="562"/>
    </row>
    <row r="786" spans="2:42" s="83" customFormat="1">
      <c r="B786" s="79" t="s">
        <v>75</v>
      </c>
      <c r="C786" s="82"/>
      <c r="D786" s="81"/>
      <c r="E786" s="81"/>
      <c r="F786" s="81"/>
      <c r="G786" s="81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75"/>
      <c r="AD786" s="75"/>
      <c r="AE786" s="75"/>
      <c r="AF786" s="75"/>
      <c r="AG786" s="166"/>
      <c r="AH786" s="166"/>
      <c r="AI786" s="75"/>
      <c r="AJ786" s="75"/>
      <c r="AK786" s="75"/>
      <c r="AL786" s="75"/>
      <c r="AM786" s="75"/>
      <c r="AN786" s="75"/>
      <c r="AO786" s="76">
        <f t="shared" si="40"/>
        <v>0</v>
      </c>
      <c r="AP786" s="562"/>
    </row>
    <row r="787" spans="2:42" s="83" customFormat="1">
      <c r="B787" s="79" t="s">
        <v>75</v>
      </c>
      <c r="C787" s="82"/>
      <c r="D787" s="81"/>
      <c r="E787" s="81"/>
      <c r="F787" s="81"/>
      <c r="G787" s="81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75"/>
      <c r="AD787" s="75"/>
      <c r="AE787" s="75"/>
      <c r="AF787" s="75"/>
      <c r="AG787" s="166"/>
      <c r="AH787" s="166"/>
      <c r="AI787" s="75"/>
      <c r="AJ787" s="75"/>
      <c r="AK787" s="75"/>
      <c r="AL787" s="75"/>
      <c r="AM787" s="75"/>
      <c r="AN787" s="75"/>
      <c r="AO787" s="76">
        <f t="shared" si="40"/>
        <v>0</v>
      </c>
      <c r="AP787" s="562"/>
    </row>
    <row r="788" spans="2:42" s="83" customFormat="1">
      <c r="B788" s="79" t="s">
        <v>75</v>
      </c>
      <c r="C788" s="82"/>
      <c r="D788" s="81"/>
      <c r="E788" s="81"/>
      <c r="F788" s="81"/>
      <c r="G788" s="81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75"/>
      <c r="AD788" s="75"/>
      <c r="AE788" s="75"/>
      <c r="AF788" s="75"/>
      <c r="AG788" s="166"/>
      <c r="AH788" s="166"/>
      <c r="AI788" s="75"/>
      <c r="AJ788" s="75"/>
      <c r="AK788" s="75"/>
      <c r="AL788" s="75"/>
      <c r="AM788" s="75"/>
      <c r="AN788" s="75"/>
      <c r="AO788" s="76">
        <f t="shared" si="40"/>
        <v>0</v>
      </c>
      <c r="AP788" s="562"/>
    </row>
    <row r="789" spans="2:42" s="83" customFormat="1">
      <c r="B789" s="79" t="s">
        <v>75</v>
      </c>
      <c r="C789" s="82"/>
      <c r="D789" s="81"/>
      <c r="E789" s="81"/>
      <c r="F789" s="81"/>
      <c r="G789" s="81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75"/>
      <c r="AD789" s="75"/>
      <c r="AE789" s="75"/>
      <c r="AF789" s="75"/>
      <c r="AG789" s="166"/>
      <c r="AH789" s="166"/>
      <c r="AI789" s="75"/>
      <c r="AJ789" s="75"/>
      <c r="AK789" s="75"/>
      <c r="AL789" s="75"/>
      <c r="AM789" s="75"/>
      <c r="AN789" s="75"/>
      <c r="AO789" s="76">
        <f t="shared" si="40"/>
        <v>0</v>
      </c>
      <c r="AP789" s="562"/>
    </row>
    <row r="790" spans="2:42" s="83" customFormat="1">
      <c r="B790" s="79" t="s">
        <v>75</v>
      </c>
      <c r="C790" s="82"/>
      <c r="D790" s="81"/>
      <c r="E790" s="81"/>
      <c r="F790" s="81"/>
      <c r="G790" s="81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75"/>
      <c r="AD790" s="75"/>
      <c r="AE790" s="75"/>
      <c r="AF790" s="75"/>
      <c r="AG790" s="166"/>
      <c r="AH790" s="166"/>
      <c r="AI790" s="75"/>
      <c r="AJ790" s="75"/>
      <c r="AK790" s="75"/>
      <c r="AL790" s="75"/>
      <c r="AM790" s="75"/>
      <c r="AN790" s="75"/>
      <c r="AO790" s="76">
        <f t="shared" si="40"/>
        <v>0</v>
      </c>
      <c r="AP790" s="562"/>
    </row>
    <row r="791" spans="2:42" s="83" customFormat="1">
      <c r="B791" s="79" t="s">
        <v>75</v>
      </c>
      <c r="C791" s="82"/>
      <c r="D791" s="81"/>
      <c r="E791" s="81"/>
      <c r="F791" s="81"/>
      <c r="G791" s="81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75"/>
      <c r="AD791" s="75"/>
      <c r="AE791" s="75"/>
      <c r="AF791" s="75"/>
      <c r="AG791" s="166"/>
      <c r="AH791" s="166"/>
      <c r="AI791" s="75"/>
      <c r="AJ791" s="75"/>
      <c r="AK791" s="75"/>
      <c r="AL791" s="75"/>
      <c r="AM791" s="75"/>
      <c r="AN791" s="75"/>
      <c r="AO791" s="76">
        <f t="shared" si="40"/>
        <v>0</v>
      </c>
      <c r="AP791" s="562"/>
    </row>
    <row r="792" spans="2:42" s="83" customFormat="1" ht="16.5" thickBot="1">
      <c r="B792" s="79" t="s">
        <v>75</v>
      </c>
      <c r="C792" s="82"/>
      <c r="D792" s="81"/>
      <c r="E792" s="81"/>
      <c r="F792" s="81"/>
      <c r="G792" s="81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75"/>
      <c r="AD792" s="75"/>
      <c r="AE792" s="75"/>
      <c r="AF792" s="75"/>
      <c r="AG792" s="166"/>
      <c r="AH792" s="166"/>
      <c r="AI792" s="75"/>
      <c r="AJ792" s="75"/>
      <c r="AK792" s="75"/>
      <c r="AL792" s="75"/>
      <c r="AM792" s="75"/>
      <c r="AN792" s="75"/>
      <c r="AO792" s="76">
        <f t="shared" si="40"/>
        <v>0</v>
      </c>
      <c r="AP792" s="563"/>
    </row>
    <row r="793" spans="2:42" s="83" customFormat="1">
      <c r="B793" s="79" t="s">
        <v>75</v>
      </c>
      <c r="C793" s="82"/>
      <c r="D793" s="81"/>
      <c r="E793" s="81"/>
      <c r="F793" s="81"/>
      <c r="G793" s="81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75"/>
      <c r="AD793" s="75"/>
      <c r="AE793" s="75"/>
      <c r="AF793" s="75"/>
      <c r="AG793" s="166"/>
      <c r="AH793" s="166"/>
      <c r="AI793" s="75"/>
      <c r="AJ793" s="75"/>
      <c r="AK793" s="75"/>
      <c r="AL793" s="75"/>
      <c r="AM793" s="75"/>
      <c r="AN793" s="75"/>
      <c r="AO793" s="76">
        <f t="shared" si="40"/>
        <v>0</v>
      </c>
      <c r="AP793" s="561">
        <f>SUM(AO793:AO813)</f>
        <v>0</v>
      </c>
    </row>
    <row r="794" spans="2:42" s="83" customFormat="1">
      <c r="B794" s="79" t="s">
        <v>75</v>
      </c>
      <c r="C794" s="82"/>
      <c r="D794" s="81"/>
      <c r="E794" s="81"/>
      <c r="F794" s="81"/>
      <c r="G794" s="81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75"/>
      <c r="AD794" s="75"/>
      <c r="AE794" s="75"/>
      <c r="AF794" s="75"/>
      <c r="AG794" s="166"/>
      <c r="AH794" s="166"/>
      <c r="AI794" s="75"/>
      <c r="AJ794" s="75"/>
      <c r="AK794" s="75"/>
      <c r="AL794" s="75"/>
      <c r="AM794" s="75"/>
      <c r="AN794" s="75"/>
      <c r="AO794" s="76">
        <f t="shared" ref="AO794:AO800" si="41">SUM(I794:AN794)</f>
        <v>0</v>
      </c>
      <c r="AP794" s="562"/>
    </row>
    <row r="795" spans="2:42" s="83" customFormat="1">
      <c r="B795" s="79" t="s">
        <v>75</v>
      </c>
      <c r="C795" s="82"/>
      <c r="D795" s="81"/>
      <c r="E795" s="81"/>
      <c r="F795" s="81"/>
      <c r="G795" s="81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75"/>
      <c r="AD795" s="75"/>
      <c r="AE795" s="75"/>
      <c r="AF795" s="75"/>
      <c r="AG795" s="166"/>
      <c r="AH795" s="166"/>
      <c r="AI795" s="75"/>
      <c r="AJ795" s="75"/>
      <c r="AK795" s="75"/>
      <c r="AL795" s="75"/>
      <c r="AM795" s="75"/>
      <c r="AN795" s="75"/>
      <c r="AO795" s="76">
        <f t="shared" si="41"/>
        <v>0</v>
      </c>
      <c r="AP795" s="562"/>
    </row>
    <row r="796" spans="2:42" s="83" customFormat="1">
      <c r="B796" s="79" t="s">
        <v>75</v>
      </c>
      <c r="C796" s="82"/>
      <c r="D796" s="81"/>
      <c r="E796" s="81"/>
      <c r="F796" s="81"/>
      <c r="G796" s="81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75"/>
      <c r="AD796" s="75"/>
      <c r="AE796" s="75"/>
      <c r="AF796" s="75"/>
      <c r="AG796" s="166"/>
      <c r="AH796" s="166"/>
      <c r="AI796" s="75"/>
      <c r="AJ796" s="75"/>
      <c r="AK796" s="75"/>
      <c r="AL796" s="75"/>
      <c r="AM796" s="75"/>
      <c r="AN796" s="75"/>
      <c r="AO796" s="76">
        <f t="shared" si="41"/>
        <v>0</v>
      </c>
      <c r="AP796" s="562"/>
    </row>
    <row r="797" spans="2:42" s="83" customFormat="1">
      <c r="B797" s="79" t="s">
        <v>75</v>
      </c>
      <c r="C797" s="82"/>
      <c r="D797" s="81"/>
      <c r="E797" s="81"/>
      <c r="F797" s="81"/>
      <c r="G797" s="81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75"/>
      <c r="AD797" s="75"/>
      <c r="AE797" s="75"/>
      <c r="AF797" s="75"/>
      <c r="AG797" s="166"/>
      <c r="AH797" s="166"/>
      <c r="AI797" s="75"/>
      <c r="AJ797" s="75"/>
      <c r="AK797" s="75"/>
      <c r="AL797" s="75"/>
      <c r="AM797" s="75"/>
      <c r="AN797" s="75"/>
      <c r="AO797" s="76">
        <f t="shared" si="41"/>
        <v>0</v>
      </c>
      <c r="AP797" s="562"/>
    </row>
    <row r="798" spans="2:42" s="83" customFormat="1">
      <c r="B798" s="79" t="s">
        <v>75</v>
      </c>
      <c r="C798" s="82"/>
      <c r="D798" s="81"/>
      <c r="E798" s="81"/>
      <c r="F798" s="81"/>
      <c r="G798" s="81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75"/>
      <c r="AD798" s="75"/>
      <c r="AE798" s="75"/>
      <c r="AF798" s="75"/>
      <c r="AG798" s="166"/>
      <c r="AH798" s="166"/>
      <c r="AI798" s="75"/>
      <c r="AJ798" s="75"/>
      <c r="AK798" s="75"/>
      <c r="AL798" s="75"/>
      <c r="AM798" s="75"/>
      <c r="AN798" s="75"/>
      <c r="AO798" s="76">
        <f t="shared" si="41"/>
        <v>0</v>
      </c>
      <c r="AP798" s="562"/>
    </row>
    <row r="799" spans="2:42" s="83" customFormat="1">
      <c r="B799" s="79" t="s">
        <v>75</v>
      </c>
      <c r="C799" s="82"/>
      <c r="D799" s="81"/>
      <c r="E799" s="81"/>
      <c r="F799" s="81"/>
      <c r="G799" s="81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75"/>
      <c r="AD799" s="75"/>
      <c r="AE799" s="75"/>
      <c r="AF799" s="75"/>
      <c r="AG799" s="166"/>
      <c r="AH799" s="166"/>
      <c r="AI799" s="75"/>
      <c r="AJ799" s="75"/>
      <c r="AK799" s="75"/>
      <c r="AL799" s="75"/>
      <c r="AM799" s="75"/>
      <c r="AN799" s="75"/>
      <c r="AO799" s="76">
        <f t="shared" si="41"/>
        <v>0</v>
      </c>
      <c r="AP799" s="562"/>
    </row>
    <row r="800" spans="2:42" s="83" customFormat="1">
      <c r="B800" s="79" t="s">
        <v>75</v>
      </c>
      <c r="C800" s="82"/>
      <c r="D800" s="81"/>
      <c r="E800" s="81"/>
      <c r="F800" s="81"/>
      <c r="G800" s="81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75"/>
      <c r="AD800" s="75"/>
      <c r="AE800" s="75"/>
      <c r="AF800" s="75"/>
      <c r="AG800" s="166"/>
      <c r="AH800" s="166"/>
      <c r="AI800" s="75"/>
      <c r="AJ800" s="75"/>
      <c r="AK800" s="75"/>
      <c r="AL800" s="75"/>
      <c r="AM800" s="75"/>
      <c r="AN800" s="75"/>
      <c r="AO800" s="76">
        <f t="shared" si="41"/>
        <v>0</v>
      </c>
      <c r="AP800" s="562"/>
    </row>
    <row r="801" spans="2:42" s="83" customFormat="1">
      <c r="B801" s="79" t="s">
        <v>75</v>
      </c>
      <c r="C801" s="82"/>
      <c r="D801" s="81"/>
      <c r="E801" s="81"/>
      <c r="F801" s="81"/>
      <c r="G801" s="81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75"/>
      <c r="AD801" s="75"/>
      <c r="AE801" s="166"/>
      <c r="AF801" s="75"/>
      <c r="AG801" s="166"/>
      <c r="AH801" s="166"/>
      <c r="AI801" s="75"/>
      <c r="AJ801" s="75"/>
      <c r="AK801" s="75"/>
      <c r="AL801" s="75"/>
      <c r="AM801" s="75"/>
      <c r="AN801" s="75"/>
      <c r="AO801" s="76">
        <f t="shared" ref="AO801:AO811" si="42">SUM(I801:AN801)</f>
        <v>0</v>
      </c>
      <c r="AP801" s="562"/>
    </row>
    <row r="802" spans="2:42" s="83" customFormat="1">
      <c r="B802" s="79" t="s">
        <v>75</v>
      </c>
      <c r="C802" s="82"/>
      <c r="D802" s="81"/>
      <c r="E802" s="81"/>
      <c r="F802" s="81"/>
      <c r="G802" s="81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75"/>
      <c r="AD802" s="75"/>
      <c r="AE802" s="166"/>
      <c r="AF802" s="75"/>
      <c r="AG802" s="166"/>
      <c r="AH802" s="166"/>
      <c r="AI802" s="75"/>
      <c r="AJ802" s="75"/>
      <c r="AK802" s="75"/>
      <c r="AL802" s="75"/>
      <c r="AM802" s="75"/>
      <c r="AN802" s="75"/>
      <c r="AO802" s="76">
        <f t="shared" ref="AO802:AO807" si="43">SUM(I802:AN802)</f>
        <v>0</v>
      </c>
      <c r="AP802" s="562"/>
    </row>
    <row r="803" spans="2:42" s="83" customFormat="1">
      <c r="B803" s="79" t="s">
        <v>75</v>
      </c>
      <c r="C803" s="82"/>
      <c r="D803" s="81"/>
      <c r="E803" s="81"/>
      <c r="F803" s="81"/>
      <c r="G803" s="81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75"/>
      <c r="AD803" s="75"/>
      <c r="AE803" s="166"/>
      <c r="AF803" s="75"/>
      <c r="AG803" s="166"/>
      <c r="AH803" s="166"/>
      <c r="AI803" s="75"/>
      <c r="AJ803" s="75"/>
      <c r="AK803" s="75"/>
      <c r="AL803" s="75"/>
      <c r="AM803" s="75"/>
      <c r="AN803" s="75"/>
      <c r="AO803" s="76">
        <f t="shared" si="43"/>
        <v>0</v>
      </c>
      <c r="AP803" s="562"/>
    </row>
    <row r="804" spans="2:42" s="83" customFormat="1">
      <c r="B804" s="79" t="s">
        <v>75</v>
      </c>
      <c r="C804" s="82"/>
      <c r="D804" s="81"/>
      <c r="E804" s="81"/>
      <c r="F804" s="81"/>
      <c r="G804" s="81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75"/>
      <c r="AD804" s="75"/>
      <c r="AE804" s="166"/>
      <c r="AF804" s="75"/>
      <c r="AG804" s="166"/>
      <c r="AH804" s="166"/>
      <c r="AI804" s="75"/>
      <c r="AJ804" s="75"/>
      <c r="AK804" s="75"/>
      <c r="AL804" s="75"/>
      <c r="AM804" s="75"/>
      <c r="AN804" s="75"/>
      <c r="AO804" s="76">
        <f t="shared" si="43"/>
        <v>0</v>
      </c>
      <c r="AP804" s="562"/>
    </row>
    <row r="805" spans="2:42" s="83" customFormat="1">
      <c r="B805" s="79" t="s">
        <v>75</v>
      </c>
      <c r="C805" s="82"/>
      <c r="D805" s="81"/>
      <c r="E805" s="81"/>
      <c r="F805" s="81"/>
      <c r="G805" s="81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75"/>
      <c r="AD805" s="75"/>
      <c r="AE805" s="166"/>
      <c r="AF805" s="75"/>
      <c r="AG805" s="166"/>
      <c r="AH805" s="166"/>
      <c r="AI805" s="75"/>
      <c r="AJ805" s="75"/>
      <c r="AK805" s="75"/>
      <c r="AL805" s="75"/>
      <c r="AM805" s="75"/>
      <c r="AN805" s="75"/>
      <c r="AO805" s="76">
        <f t="shared" si="43"/>
        <v>0</v>
      </c>
      <c r="AP805" s="562"/>
    </row>
    <row r="806" spans="2:42" s="83" customFormat="1">
      <c r="B806" s="79" t="s">
        <v>75</v>
      </c>
      <c r="C806" s="82"/>
      <c r="D806" s="81"/>
      <c r="E806" s="81"/>
      <c r="F806" s="81"/>
      <c r="G806" s="81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75"/>
      <c r="AD806" s="75"/>
      <c r="AE806" s="166"/>
      <c r="AF806" s="75"/>
      <c r="AG806" s="166"/>
      <c r="AH806" s="166"/>
      <c r="AI806" s="75"/>
      <c r="AJ806" s="75"/>
      <c r="AK806" s="75"/>
      <c r="AL806" s="75"/>
      <c r="AM806" s="75"/>
      <c r="AN806" s="75"/>
      <c r="AO806" s="76">
        <f t="shared" si="43"/>
        <v>0</v>
      </c>
      <c r="AP806" s="562"/>
    </row>
    <row r="807" spans="2:42" s="83" customFormat="1">
      <c r="B807" s="79" t="s">
        <v>75</v>
      </c>
      <c r="C807" s="82"/>
      <c r="D807" s="81"/>
      <c r="E807" s="81"/>
      <c r="F807" s="81"/>
      <c r="G807" s="81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75"/>
      <c r="AD807" s="75"/>
      <c r="AE807" s="166"/>
      <c r="AF807" s="75"/>
      <c r="AG807" s="166"/>
      <c r="AH807" s="166"/>
      <c r="AI807" s="75"/>
      <c r="AJ807" s="75"/>
      <c r="AK807" s="75"/>
      <c r="AL807" s="75"/>
      <c r="AM807" s="75"/>
      <c r="AN807" s="75"/>
      <c r="AO807" s="76">
        <f t="shared" si="43"/>
        <v>0</v>
      </c>
      <c r="AP807" s="562"/>
    </row>
    <row r="808" spans="2:42" s="83" customFormat="1">
      <c r="B808" s="79" t="s">
        <v>75</v>
      </c>
      <c r="C808" s="82"/>
      <c r="D808" s="81"/>
      <c r="E808" s="81"/>
      <c r="F808" s="81"/>
      <c r="G808" s="81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75"/>
      <c r="AD808" s="75"/>
      <c r="AE808" s="75"/>
      <c r="AF808" s="75"/>
      <c r="AG808" s="166"/>
      <c r="AH808" s="166"/>
      <c r="AI808" s="75"/>
      <c r="AJ808" s="75"/>
      <c r="AK808" s="75"/>
      <c r="AL808" s="75"/>
      <c r="AM808" s="75"/>
      <c r="AN808" s="75"/>
      <c r="AO808" s="76">
        <f t="shared" si="42"/>
        <v>0</v>
      </c>
      <c r="AP808" s="562"/>
    </row>
    <row r="809" spans="2:42" s="83" customFormat="1">
      <c r="B809" s="79" t="s">
        <v>75</v>
      </c>
      <c r="C809" s="82"/>
      <c r="D809" s="81"/>
      <c r="E809" s="81"/>
      <c r="F809" s="81"/>
      <c r="G809" s="81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75"/>
      <c r="AD809" s="75"/>
      <c r="AE809" s="75"/>
      <c r="AF809" s="75"/>
      <c r="AG809" s="166"/>
      <c r="AH809" s="166"/>
      <c r="AI809" s="75"/>
      <c r="AJ809" s="75"/>
      <c r="AK809" s="75"/>
      <c r="AL809" s="75"/>
      <c r="AM809" s="75"/>
      <c r="AN809" s="75"/>
      <c r="AO809" s="76">
        <f t="shared" si="42"/>
        <v>0</v>
      </c>
      <c r="AP809" s="562"/>
    </row>
    <row r="810" spans="2:42" s="83" customFormat="1">
      <c r="B810" s="79" t="s">
        <v>75</v>
      </c>
      <c r="C810" s="82"/>
      <c r="D810" s="81"/>
      <c r="E810" s="81"/>
      <c r="F810" s="81"/>
      <c r="G810" s="81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75"/>
      <c r="AD810" s="75"/>
      <c r="AE810" s="75"/>
      <c r="AF810" s="75"/>
      <c r="AG810" s="166"/>
      <c r="AH810" s="166"/>
      <c r="AI810" s="75"/>
      <c r="AJ810" s="75"/>
      <c r="AK810" s="75"/>
      <c r="AL810" s="75"/>
      <c r="AM810" s="75"/>
      <c r="AN810" s="75"/>
      <c r="AO810" s="76">
        <f t="shared" si="42"/>
        <v>0</v>
      </c>
      <c r="AP810" s="562"/>
    </row>
    <row r="811" spans="2:42" s="83" customFormat="1">
      <c r="B811" s="79" t="s">
        <v>75</v>
      </c>
      <c r="C811" s="82"/>
      <c r="D811" s="81"/>
      <c r="E811" s="81"/>
      <c r="F811" s="81"/>
      <c r="G811" s="81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75"/>
      <c r="AD811" s="75"/>
      <c r="AE811" s="75"/>
      <c r="AF811" s="75"/>
      <c r="AG811" s="166"/>
      <c r="AH811" s="166"/>
      <c r="AI811" s="75"/>
      <c r="AJ811" s="75"/>
      <c r="AK811" s="166"/>
      <c r="AL811" s="75"/>
      <c r="AM811" s="75"/>
      <c r="AN811" s="75"/>
      <c r="AO811" s="76">
        <f t="shared" si="42"/>
        <v>0</v>
      </c>
      <c r="AP811" s="562"/>
    </row>
    <row r="812" spans="2:42" s="83" customFormat="1">
      <c r="B812" s="79" t="s">
        <v>75</v>
      </c>
      <c r="C812" s="82"/>
      <c r="D812" s="81"/>
      <c r="E812" s="81"/>
      <c r="F812" s="81"/>
      <c r="G812" s="81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75"/>
      <c r="AD812" s="75"/>
      <c r="AE812" s="75"/>
      <c r="AF812" s="75"/>
      <c r="AG812" s="166"/>
      <c r="AH812" s="166"/>
      <c r="AI812" s="75"/>
      <c r="AJ812" s="75"/>
      <c r="AK812" s="166"/>
      <c r="AL812" s="75"/>
      <c r="AM812" s="75"/>
      <c r="AN812" s="75"/>
      <c r="AO812" s="76">
        <f t="shared" ref="AO812:AO820" si="44">SUM(I812:AN812)</f>
        <v>0</v>
      </c>
      <c r="AP812" s="562"/>
    </row>
    <row r="813" spans="2:42" s="83" customFormat="1" ht="16.5" thickBot="1">
      <c r="B813" s="79" t="s">
        <v>75</v>
      </c>
      <c r="C813" s="82"/>
      <c r="D813" s="81"/>
      <c r="E813" s="81"/>
      <c r="F813" s="81"/>
      <c r="G813" s="81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75"/>
      <c r="AD813" s="75"/>
      <c r="AE813" s="75"/>
      <c r="AF813" s="75"/>
      <c r="AG813" s="166"/>
      <c r="AH813" s="166"/>
      <c r="AI813" s="75"/>
      <c r="AJ813" s="75"/>
      <c r="AK813" s="166"/>
      <c r="AL813" s="75"/>
      <c r="AM813" s="75"/>
      <c r="AN813" s="75"/>
      <c r="AO813" s="76">
        <f t="shared" si="44"/>
        <v>0</v>
      </c>
      <c r="AP813" s="562"/>
    </row>
    <row r="814" spans="2:42" s="83" customFormat="1">
      <c r="B814" s="79" t="s">
        <v>75</v>
      </c>
      <c r="C814" s="82"/>
      <c r="D814" s="81"/>
      <c r="E814" s="81"/>
      <c r="F814" s="81"/>
      <c r="G814" s="81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75"/>
      <c r="AD814" s="75"/>
      <c r="AE814" s="75"/>
      <c r="AF814" s="75"/>
      <c r="AG814" s="166"/>
      <c r="AH814" s="166"/>
      <c r="AI814" s="75"/>
      <c r="AJ814" s="75"/>
      <c r="AK814" s="166"/>
      <c r="AL814" s="75"/>
      <c r="AM814" s="75"/>
      <c r="AN814" s="75"/>
      <c r="AO814" s="76">
        <f t="shared" si="44"/>
        <v>0</v>
      </c>
      <c r="AP814" s="199"/>
    </row>
    <row r="815" spans="2:42" s="83" customFormat="1" ht="16.5" thickBot="1">
      <c r="B815" s="79" t="s">
        <v>75</v>
      </c>
      <c r="C815" s="82"/>
      <c r="D815" s="81"/>
      <c r="E815" s="81"/>
      <c r="F815" s="81"/>
      <c r="G815" s="81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75"/>
      <c r="AD815" s="75"/>
      <c r="AE815" s="75"/>
      <c r="AF815" s="75"/>
      <c r="AG815" s="166"/>
      <c r="AH815" s="166"/>
      <c r="AI815" s="75"/>
      <c r="AJ815" s="75"/>
      <c r="AK815" s="166"/>
      <c r="AL815" s="75"/>
      <c r="AM815" s="75"/>
      <c r="AN815" s="75"/>
      <c r="AO815" s="76">
        <f t="shared" si="44"/>
        <v>0</v>
      </c>
      <c r="AP815" s="231"/>
    </row>
    <row r="816" spans="2:42" s="83" customFormat="1">
      <c r="B816" s="79" t="s">
        <v>75</v>
      </c>
      <c r="C816" s="82"/>
      <c r="D816" s="81"/>
      <c r="E816" s="81"/>
      <c r="F816" s="81"/>
      <c r="G816" s="81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75"/>
      <c r="AD816" s="75"/>
      <c r="AE816" s="75"/>
      <c r="AF816" s="75"/>
      <c r="AG816" s="166"/>
      <c r="AH816" s="166"/>
      <c r="AI816" s="75"/>
      <c r="AJ816" s="75"/>
      <c r="AK816" s="166"/>
      <c r="AL816" s="75"/>
      <c r="AM816" s="75"/>
      <c r="AN816" s="75"/>
      <c r="AO816" s="76">
        <f t="shared" si="44"/>
        <v>0</v>
      </c>
      <c r="AP816" s="561">
        <f>SUM(AO816:AO838)</f>
        <v>0</v>
      </c>
    </row>
    <row r="817" spans="2:42" s="83" customFormat="1">
      <c r="B817" s="79" t="s">
        <v>75</v>
      </c>
      <c r="C817" s="82"/>
      <c r="D817" s="81"/>
      <c r="E817" s="81"/>
      <c r="F817" s="81"/>
      <c r="G817" s="81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75"/>
      <c r="AD817" s="75"/>
      <c r="AE817" s="75"/>
      <c r="AF817" s="75"/>
      <c r="AG817" s="166"/>
      <c r="AH817" s="166"/>
      <c r="AI817" s="75"/>
      <c r="AJ817" s="75"/>
      <c r="AK817" s="166"/>
      <c r="AL817" s="75"/>
      <c r="AM817" s="75"/>
      <c r="AN817" s="75"/>
      <c r="AO817" s="76">
        <f t="shared" si="44"/>
        <v>0</v>
      </c>
      <c r="AP817" s="562"/>
    </row>
    <row r="818" spans="2:42" s="83" customFormat="1">
      <c r="B818" s="79" t="s">
        <v>75</v>
      </c>
      <c r="C818" s="82"/>
      <c r="D818" s="81"/>
      <c r="E818" s="81"/>
      <c r="F818" s="81"/>
      <c r="G818" s="81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75"/>
      <c r="AD818" s="75"/>
      <c r="AE818" s="75"/>
      <c r="AF818" s="75"/>
      <c r="AG818" s="166"/>
      <c r="AH818" s="166"/>
      <c r="AI818" s="75"/>
      <c r="AJ818" s="75"/>
      <c r="AK818" s="166"/>
      <c r="AL818" s="75"/>
      <c r="AM818" s="75"/>
      <c r="AN818" s="75"/>
      <c r="AO818" s="76">
        <f t="shared" si="44"/>
        <v>0</v>
      </c>
      <c r="AP818" s="562"/>
    </row>
    <row r="819" spans="2:42" s="83" customFormat="1">
      <c r="B819" s="79" t="s">
        <v>75</v>
      </c>
      <c r="C819" s="82"/>
      <c r="D819" s="81"/>
      <c r="E819" s="81"/>
      <c r="F819" s="81"/>
      <c r="G819" s="81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75"/>
      <c r="AD819" s="75"/>
      <c r="AE819" s="75"/>
      <c r="AF819" s="75"/>
      <c r="AG819" s="166"/>
      <c r="AH819" s="166"/>
      <c r="AI819" s="75"/>
      <c r="AJ819" s="75"/>
      <c r="AK819" s="166"/>
      <c r="AL819" s="75"/>
      <c r="AM819" s="75"/>
      <c r="AN819" s="75"/>
      <c r="AO819" s="76">
        <f t="shared" si="44"/>
        <v>0</v>
      </c>
      <c r="AP819" s="562"/>
    </row>
    <row r="820" spans="2:42" s="83" customFormat="1">
      <c r="B820" s="79" t="s">
        <v>75</v>
      </c>
      <c r="C820" s="82"/>
      <c r="D820" s="81"/>
      <c r="E820" s="81"/>
      <c r="F820" s="81"/>
      <c r="G820" s="81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75"/>
      <c r="AD820" s="75"/>
      <c r="AE820" s="75"/>
      <c r="AF820" s="75"/>
      <c r="AG820" s="166"/>
      <c r="AH820" s="166"/>
      <c r="AI820" s="75"/>
      <c r="AJ820" s="75"/>
      <c r="AK820" s="166"/>
      <c r="AL820" s="75"/>
      <c r="AM820" s="75"/>
      <c r="AN820" s="75"/>
      <c r="AO820" s="76">
        <f t="shared" si="44"/>
        <v>0</v>
      </c>
      <c r="AP820" s="562"/>
    </row>
    <row r="821" spans="2:42" s="83" customFormat="1">
      <c r="B821" s="79" t="s">
        <v>75</v>
      </c>
      <c r="C821" s="82"/>
      <c r="D821" s="81"/>
      <c r="E821" s="81"/>
      <c r="F821" s="81"/>
      <c r="G821" s="81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75"/>
      <c r="AD821" s="75"/>
      <c r="AE821" s="75"/>
      <c r="AF821" s="75"/>
      <c r="AG821" s="166"/>
      <c r="AH821" s="166"/>
      <c r="AI821" s="75"/>
      <c r="AJ821" s="75"/>
      <c r="AK821" s="75"/>
      <c r="AL821" s="75"/>
      <c r="AM821" s="75"/>
      <c r="AN821" s="75"/>
      <c r="AO821" s="76">
        <f t="shared" ref="AO821:AO829" si="45">SUM(I821:AN821)</f>
        <v>0</v>
      </c>
      <c r="AP821" s="562"/>
    </row>
    <row r="822" spans="2:42" s="83" customFormat="1">
      <c r="B822" s="79" t="s">
        <v>75</v>
      </c>
      <c r="C822" s="82"/>
      <c r="D822" s="81"/>
      <c r="E822" s="81"/>
      <c r="F822" s="81"/>
      <c r="G822" s="81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75"/>
      <c r="AD822" s="75"/>
      <c r="AE822" s="75"/>
      <c r="AF822" s="75"/>
      <c r="AG822" s="166"/>
      <c r="AH822" s="166"/>
      <c r="AI822" s="75"/>
      <c r="AJ822" s="75"/>
      <c r="AK822" s="75"/>
      <c r="AL822" s="75"/>
      <c r="AM822" s="75"/>
      <c r="AN822" s="75"/>
      <c r="AO822" s="76">
        <f t="shared" si="45"/>
        <v>0</v>
      </c>
      <c r="AP822" s="562"/>
    </row>
    <row r="823" spans="2:42" s="83" customFormat="1">
      <c r="B823" s="79" t="s">
        <v>75</v>
      </c>
      <c r="C823" s="82"/>
      <c r="D823" s="81"/>
      <c r="E823" s="81"/>
      <c r="F823" s="81"/>
      <c r="G823" s="81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75"/>
      <c r="AD823" s="75"/>
      <c r="AE823" s="75"/>
      <c r="AF823" s="75"/>
      <c r="AG823" s="166"/>
      <c r="AH823" s="166"/>
      <c r="AI823" s="75"/>
      <c r="AJ823" s="75"/>
      <c r="AK823" s="75"/>
      <c r="AL823" s="75"/>
      <c r="AM823" s="75"/>
      <c r="AN823" s="75"/>
      <c r="AO823" s="76">
        <f t="shared" si="45"/>
        <v>0</v>
      </c>
      <c r="AP823" s="562"/>
    </row>
    <row r="824" spans="2:42" s="83" customFormat="1">
      <c r="B824" s="79" t="s">
        <v>75</v>
      </c>
      <c r="C824" s="82"/>
      <c r="D824" s="81"/>
      <c r="E824" s="81"/>
      <c r="F824" s="81"/>
      <c r="G824" s="81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75"/>
      <c r="AD824" s="75"/>
      <c r="AE824" s="75"/>
      <c r="AF824" s="75"/>
      <c r="AG824" s="166"/>
      <c r="AH824" s="166"/>
      <c r="AI824" s="75"/>
      <c r="AJ824" s="75"/>
      <c r="AK824" s="75"/>
      <c r="AL824" s="75"/>
      <c r="AM824" s="75"/>
      <c r="AN824" s="75"/>
      <c r="AO824" s="76">
        <f t="shared" si="45"/>
        <v>0</v>
      </c>
      <c r="AP824" s="562"/>
    </row>
    <row r="825" spans="2:42" s="83" customFormat="1">
      <c r="B825" s="79" t="s">
        <v>75</v>
      </c>
      <c r="C825" s="82"/>
      <c r="D825" s="81"/>
      <c r="E825" s="81"/>
      <c r="F825" s="81"/>
      <c r="G825" s="81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75"/>
      <c r="AD825" s="75"/>
      <c r="AE825" s="75"/>
      <c r="AF825" s="75"/>
      <c r="AG825" s="166"/>
      <c r="AH825" s="166"/>
      <c r="AI825" s="75"/>
      <c r="AJ825" s="75"/>
      <c r="AK825" s="75"/>
      <c r="AL825" s="75"/>
      <c r="AM825" s="75"/>
      <c r="AN825" s="75"/>
      <c r="AO825" s="76">
        <f t="shared" si="45"/>
        <v>0</v>
      </c>
      <c r="AP825" s="562"/>
    </row>
    <row r="826" spans="2:42" s="83" customFormat="1">
      <c r="B826" s="79" t="s">
        <v>75</v>
      </c>
      <c r="C826" s="82"/>
      <c r="D826" s="81"/>
      <c r="E826" s="81"/>
      <c r="F826" s="81"/>
      <c r="G826" s="81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75"/>
      <c r="AD826" s="75"/>
      <c r="AE826" s="75"/>
      <c r="AF826" s="75"/>
      <c r="AG826" s="166"/>
      <c r="AH826" s="166"/>
      <c r="AI826" s="75"/>
      <c r="AJ826" s="75"/>
      <c r="AK826" s="75"/>
      <c r="AL826" s="75"/>
      <c r="AM826" s="75"/>
      <c r="AN826" s="75"/>
      <c r="AO826" s="76">
        <f t="shared" si="45"/>
        <v>0</v>
      </c>
      <c r="AP826" s="562"/>
    </row>
    <row r="827" spans="2:42" s="83" customFormat="1">
      <c r="B827" s="79" t="s">
        <v>75</v>
      </c>
      <c r="C827" s="82"/>
      <c r="D827" s="81"/>
      <c r="E827" s="81"/>
      <c r="F827" s="81"/>
      <c r="G827" s="81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75"/>
      <c r="AD827" s="75"/>
      <c r="AE827" s="75"/>
      <c r="AF827" s="75"/>
      <c r="AG827" s="166"/>
      <c r="AH827" s="166"/>
      <c r="AI827" s="75"/>
      <c r="AJ827" s="75"/>
      <c r="AK827" s="75"/>
      <c r="AL827" s="75"/>
      <c r="AM827" s="75"/>
      <c r="AN827" s="75"/>
      <c r="AO827" s="76">
        <f t="shared" si="45"/>
        <v>0</v>
      </c>
      <c r="AP827" s="562"/>
    </row>
    <row r="828" spans="2:42" s="83" customFormat="1">
      <c r="B828" s="79" t="s">
        <v>75</v>
      </c>
      <c r="C828" s="82"/>
      <c r="D828" s="81"/>
      <c r="E828" s="81"/>
      <c r="F828" s="81"/>
      <c r="G828" s="81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75"/>
      <c r="AD828" s="75"/>
      <c r="AE828" s="75"/>
      <c r="AF828" s="75"/>
      <c r="AG828" s="166"/>
      <c r="AH828" s="166"/>
      <c r="AI828" s="75"/>
      <c r="AJ828" s="75"/>
      <c r="AK828" s="75"/>
      <c r="AL828" s="75"/>
      <c r="AM828" s="75"/>
      <c r="AN828" s="75"/>
      <c r="AO828" s="76">
        <f t="shared" si="45"/>
        <v>0</v>
      </c>
      <c r="AP828" s="562"/>
    </row>
    <row r="829" spans="2:42" s="83" customFormat="1">
      <c r="B829" s="79" t="s">
        <v>75</v>
      </c>
      <c r="C829" s="82"/>
      <c r="D829" s="81"/>
      <c r="E829" s="81"/>
      <c r="F829" s="81"/>
      <c r="G829" s="81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75"/>
      <c r="AD829" s="75"/>
      <c r="AE829" s="75"/>
      <c r="AF829" s="75"/>
      <c r="AG829" s="166"/>
      <c r="AH829" s="166"/>
      <c r="AI829" s="75"/>
      <c r="AJ829" s="75"/>
      <c r="AK829" s="75"/>
      <c r="AL829" s="75"/>
      <c r="AM829" s="75"/>
      <c r="AN829" s="75"/>
      <c r="AO829" s="76">
        <f t="shared" si="45"/>
        <v>0</v>
      </c>
      <c r="AP829" s="562"/>
    </row>
    <row r="830" spans="2:42" s="83" customFormat="1">
      <c r="B830" s="79" t="s">
        <v>75</v>
      </c>
      <c r="C830" s="82"/>
      <c r="D830" s="81"/>
      <c r="E830" s="81"/>
      <c r="F830" s="81"/>
      <c r="G830" s="81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75"/>
      <c r="AD830" s="75"/>
      <c r="AE830" s="75"/>
      <c r="AF830" s="75"/>
      <c r="AG830" s="166"/>
      <c r="AH830" s="166"/>
      <c r="AI830" s="75"/>
      <c r="AJ830" s="75"/>
      <c r="AK830" s="75"/>
      <c r="AL830" s="75"/>
      <c r="AM830" s="75"/>
      <c r="AN830" s="75"/>
      <c r="AO830" s="76">
        <f t="shared" ref="AO830:AO839" si="46">SUM(I830:AN830)</f>
        <v>0</v>
      </c>
      <c r="AP830" s="562"/>
    </row>
    <row r="831" spans="2:42" s="83" customFormat="1">
      <c r="B831" s="79" t="s">
        <v>75</v>
      </c>
      <c r="C831" s="82"/>
      <c r="D831" s="81"/>
      <c r="E831" s="81"/>
      <c r="F831" s="81"/>
      <c r="G831" s="81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75"/>
      <c r="AD831" s="75"/>
      <c r="AE831" s="75"/>
      <c r="AF831" s="75"/>
      <c r="AG831" s="166"/>
      <c r="AH831" s="166"/>
      <c r="AI831" s="75"/>
      <c r="AJ831" s="75"/>
      <c r="AK831" s="75"/>
      <c r="AL831" s="75"/>
      <c r="AM831" s="75"/>
      <c r="AN831" s="75"/>
      <c r="AO831" s="76">
        <f t="shared" si="46"/>
        <v>0</v>
      </c>
      <c r="AP831" s="562"/>
    </row>
    <row r="832" spans="2:42" s="83" customFormat="1">
      <c r="B832" s="79" t="s">
        <v>75</v>
      </c>
      <c r="C832" s="82"/>
      <c r="D832" s="81"/>
      <c r="E832" s="81"/>
      <c r="F832" s="81"/>
      <c r="G832" s="81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75"/>
      <c r="AD832" s="75"/>
      <c r="AE832" s="75"/>
      <c r="AF832" s="75"/>
      <c r="AG832" s="166"/>
      <c r="AH832" s="166"/>
      <c r="AI832" s="75"/>
      <c r="AJ832" s="75"/>
      <c r="AK832" s="75"/>
      <c r="AL832" s="75"/>
      <c r="AM832" s="75"/>
      <c r="AN832" s="75"/>
      <c r="AO832" s="76">
        <f t="shared" si="46"/>
        <v>0</v>
      </c>
      <c r="AP832" s="562"/>
    </row>
    <row r="833" spans="2:42" s="83" customFormat="1">
      <c r="B833" s="79" t="s">
        <v>75</v>
      </c>
      <c r="C833" s="82"/>
      <c r="D833" s="81"/>
      <c r="E833" s="81"/>
      <c r="F833" s="81"/>
      <c r="G833" s="81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75"/>
      <c r="AD833" s="75"/>
      <c r="AE833" s="75"/>
      <c r="AF833" s="75"/>
      <c r="AG833" s="166"/>
      <c r="AH833" s="166"/>
      <c r="AI833" s="75"/>
      <c r="AJ833" s="75"/>
      <c r="AK833" s="75"/>
      <c r="AL833" s="75"/>
      <c r="AM833" s="75"/>
      <c r="AN833" s="75"/>
      <c r="AO833" s="76">
        <f t="shared" si="46"/>
        <v>0</v>
      </c>
      <c r="AP833" s="562"/>
    </row>
    <row r="834" spans="2:42" s="83" customFormat="1">
      <c r="B834" s="79" t="s">
        <v>75</v>
      </c>
      <c r="C834" s="82"/>
      <c r="D834" s="81"/>
      <c r="E834" s="81"/>
      <c r="F834" s="81"/>
      <c r="G834" s="81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75"/>
      <c r="AD834" s="75"/>
      <c r="AE834" s="75"/>
      <c r="AF834" s="75"/>
      <c r="AG834" s="166"/>
      <c r="AH834" s="166"/>
      <c r="AI834" s="75"/>
      <c r="AJ834" s="75"/>
      <c r="AK834" s="75"/>
      <c r="AL834" s="75"/>
      <c r="AM834" s="75"/>
      <c r="AN834" s="75"/>
      <c r="AO834" s="76">
        <f t="shared" si="46"/>
        <v>0</v>
      </c>
      <c r="AP834" s="562"/>
    </row>
    <row r="835" spans="2:42" s="83" customFormat="1">
      <c r="B835" s="79" t="s">
        <v>75</v>
      </c>
      <c r="C835" s="82"/>
      <c r="D835" s="81"/>
      <c r="E835" s="81"/>
      <c r="F835" s="81"/>
      <c r="G835" s="81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75"/>
      <c r="AD835" s="75"/>
      <c r="AE835" s="75"/>
      <c r="AF835" s="75"/>
      <c r="AG835" s="166"/>
      <c r="AH835" s="166"/>
      <c r="AI835" s="75"/>
      <c r="AJ835" s="75"/>
      <c r="AK835" s="75"/>
      <c r="AL835" s="75"/>
      <c r="AM835" s="75"/>
      <c r="AN835" s="75"/>
      <c r="AO835" s="76">
        <f t="shared" si="46"/>
        <v>0</v>
      </c>
      <c r="AP835" s="562"/>
    </row>
    <row r="836" spans="2:42" s="83" customFormat="1">
      <c r="B836" s="79" t="s">
        <v>75</v>
      </c>
      <c r="C836" s="82"/>
      <c r="D836" s="81"/>
      <c r="E836" s="81"/>
      <c r="F836" s="81"/>
      <c r="G836" s="81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75"/>
      <c r="AD836" s="75"/>
      <c r="AE836" s="75"/>
      <c r="AF836" s="75"/>
      <c r="AG836" s="166"/>
      <c r="AH836" s="166"/>
      <c r="AI836" s="75"/>
      <c r="AJ836" s="75"/>
      <c r="AK836" s="75"/>
      <c r="AL836" s="75"/>
      <c r="AM836" s="75"/>
      <c r="AN836" s="75"/>
      <c r="AO836" s="76">
        <f t="shared" si="46"/>
        <v>0</v>
      </c>
      <c r="AP836" s="562"/>
    </row>
    <row r="837" spans="2:42" s="83" customFormat="1">
      <c r="B837" s="79" t="s">
        <v>75</v>
      </c>
      <c r="C837" s="82"/>
      <c r="D837" s="81"/>
      <c r="E837" s="81"/>
      <c r="F837" s="81"/>
      <c r="G837" s="81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75"/>
      <c r="AD837" s="75"/>
      <c r="AE837" s="75"/>
      <c r="AF837" s="75"/>
      <c r="AG837" s="166"/>
      <c r="AH837" s="166"/>
      <c r="AI837" s="75"/>
      <c r="AJ837" s="75"/>
      <c r="AK837" s="75"/>
      <c r="AL837" s="75"/>
      <c r="AM837" s="75"/>
      <c r="AN837" s="75"/>
      <c r="AO837" s="76">
        <f t="shared" si="46"/>
        <v>0</v>
      </c>
      <c r="AP837" s="562"/>
    </row>
    <row r="838" spans="2:42" s="83" customFormat="1" ht="16.5" thickBot="1">
      <c r="B838" s="79" t="s">
        <v>75</v>
      </c>
      <c r="C838" s="82"/>
      <c r="D838" s="81"/>
      <c r="E838" s="81"/>
      <c r="F838" s="81"/>
      <c r="G838" s="81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75"/>
      <c r="AD838" s="75"/>
      <c r="AE838" s="75"/>
      <c r="AF838" s="75"/>
      <c r="AG838" s="166"/>
      <c r="AH838" s="166"/>
      <c r="AI838" s="75"/>
      <c r="AJ838" s="75"/>
      <c r="AK838" s="75"/>
      <c r="AL838" s="75"/>
      <c r="AM838" s="75"/>
      <c r="AN838" s="75"/>
      <c r="AO838" s="76">
        <f t="shared" si="46"/>
        <v>0</v>
      </c>
      <c r="AP838" s="563"/>
    </row>
    <row r="839" spans="2:42" s="83" customFormat="1">
      <c r="B839" s="79" t="s">
        <v>75</v>
      </c>
      <c r="C839" s="82"/>
      <c r="D839" s="81"/>
      <c r="E839" s="81"/>
      <c r="F839" s="81"/>
      <c r="G839" s="81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75"/>
      <c r="AD839" s="75"/>
      <c r="AE839" s="75"/>
      <c r="AF839" s="75"/>
      <c r="AG839" s="166"/>
      <c r="AH839" s="166"/>
      <c r="AI839" s="75"/>
      <c r="AJ839" s="75"/>
      <c r="AK839" s="75"/>
      <c r="AL839" s="75"/>
      <c r="AM839" s="75"/>
      <c r="AN839" s="75"/>
      <c r="AO839" s="76">
        <f t="shared" si="46"/>
        <v>0</v>
      </c>
      <c r="AP839" s="191"/>
    </row>
    <row r="840" spans="2:42" s="83" customFormat="1">
      <c r="B840" s="79" t="s">
        <v>75</v>
      </c>
      <c r="C840" s="82"/>
      <c r="D840" s="81"/>
      <c r="E840" s="81"/>
      <c r="F840" s="81"/>
      <c r="G840" s="81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75"/>
      <c r="AD840" s="75"/>
      <c r="AE840" s="75"/>
      <c r="AF840" s="75"/>
      <c r="AG840" s="166"/>
      <c r="AH840" s="166"/>
      <c r="AI840" s="75"/>
      <c r="AJ840" s="75"/>
      <c r="AK840" s="75"/>
      <c r="AL840" s="75"/>
      <c r="AM840" s="75"/>
      <c r="AN840" s="75"/>
      <c r="AO840" s="76">
        <f t="shared" ref="AO840:AO849" si="47">SUM(I840:AN840)</f>
        <v>0</v>
      </c>
      <c r="AP840" s="191"/>
    </row>
    <row r="841" spans="2:42" s="83" customFormat="1">
      <c r="B841" s="79" t="s">
        <v>75</v>
      </c>
      <c r="C841" s="82"/>
      <c r="D841" s="81"/>
      <c r="E841" s="81"/>
      <c r="F841" s="81"/>
      <c r="G841" s="81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75"/>
      <c r="AD841" s="75"/>
      <c r="AE841" s="75"/>
      <c r="AF841" s="75"/>
      <c r="AG841" s="166"/>
      <c r="AH841" s="166"/>
      <c r="AI841" s="75"/>
      <c r="AJ841" s="75"/>
      <c r="AK841" s="75"/>
      <c r="AL841" s="75"/>
      <c r="AM841" s="75"/>
      <c r="AN841" s="75"/>
      <c r="AO841" s="76">
        <f t="shared" si="47"/>
        <v>0</v>
      </c>
      <c r="AP841" s="191"/>
    </row>
    <row r="842" spans="2:42" s="83" customFormat="1">
      <c r="B842" s="79" t="s">
        <v>75</v>
      </c>
      <c r="C842" s="82"/>
      <c r="D842" s="81"/>
      <c r="E842" s="81"/>
      <c r="F842" s="81"/>
      <c r="G842" s="81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75"/>
      <c r="AD842" s="75"/>
      <c r="AE842" s="75"/>
      <c r="AF842" s="75"/>
      <c r="AG842" s="166"/>
      <c r="AH842" s="166"/>
      <c r="AI842" s="75"/>
      <c r="AJ842" s="75"/>
      <c r="AK842" s="75"/>
      <c r="AL842" s="75"/>
      <c r="AM842" s="75"/>
      <c r="AN842" s="75"/>
      <c r="AO842" s="76">
        <f t="shared" si="47"/>
        <v>0</v>
      </c>
      <c r="AP842" s="191"/>
    </row>
    <row r="843" spans="2:42" s="83" customFormat="1">
      <c r="B843" s="79" t="s">
        <v>75</v>
      </c>
      <c r="C843" s="82"/>
      <c r="D843" s="81"/>
      <c r="E843" s="81"/>
      <c r="F843" s="81"/>
      <c r="G843" s="81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75"/>
      <c r="AD843" s="75"/>
      <c r="AE843" s="75"/>
      <c r="AF843" s="75"/>
      <c r="AG843" s="166"/>
      <c r="AH843" s="166"/>
      <c r="AI843" s="75"/>
      <c r="AJ843" s="75"/>
      <c r="AK843" s="75"/>
      <c r="AL843" s="75"/>
      <c r="AM843" s="75"/>
      <c r="AN843" s="75"/>
      <c r="AO843" s="76">
        <f t="shared" si="47"/>
        <v>0</v>
      </c>
      <c r="AP843" s="191"/>
    </row>
    <row r="844" spans="2:42" s="83" customFormat="1">
      <c r="B844" s="79" t="s">
        <v>75</v>
      </c>
      <c r="C844" s="82"/>
      <c r="D844" s="81"/>
      <c r="E844" s="81"/>
      <c r="F844" s="81"/>
      <c r="G844" s="81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75"/>
      <c r="AD844" s="75"/>
      <c r="AE844" s="75"/>
      <c r="AF844" s="75"/>
      <c r="AG844" s="166"/>
      <c r="AH844" s="166"/>
      <c r="AI844" s="75"/>
      <c r="AJ844" s="75"/>
      <c r="AK844" s="75"/>
      <c r="AL844" s="75"/>
      <c r="AM844" s="75"/>
      <c r="AN844" s="75"/>
      <c r="AO844" s="76">
        <f t="shared" si="47"/>
        <v>0</v>
      </c>
      <c r="AP844" s="191"/>
    </row>
    <row r="845" spans="2:42" s="83" customFormat="1">
      <c r="B845" s="79" t="s">
        <v>75</v>
      </c>
      <c r="C845" s="82"/>
      <c r="D845" s="81"/>
      <c r="E845" s="81"/>
      <c r="F845" s="81"/>
      <c r="G845" s="81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75"/>
      <c r="AD845" s="75"/>
      <c r="AE845" s="75"/>
      <c r="AF845" s="75"/>
      <c r="AG845" s="166"/>
      <c r="AH845" s="166"/>
      <c r="AI845" s="75"/>
      <c r="AJ845" s="75"/>
      <c r="AK845" s="75"/>
      <c r="AL845" s="75"/>
      <c r="AM845" s="75"/>
      <c r="AN845" s="75"/>
      <c r="AO845" s="76">
        <f t="shared" si="47"/>
        <v>0</v>
      </c>
      <c r="AP845" s="191"/>
    </row>
    <row r="846" spans="2:42" s="83" customFormat="1">
      <c r="B846" s="79" t="s">
        <v>75</v>
      </c>
      <c r="C846" s="82"/>
      <c r="D846" s="81"/>
      <c r="E846" s="81"/>
      <c r="F846" s="81"/>
      <c r="G846" s="81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75"/>
      <c r="AD846" s="75"/>
      <c r="AE846" s="75"/>
      <c r="AF846" s="75"/>
      <c r="AG846" s="166"/>
      <c r="AH846" s="166"/>
      <c r="AI846" s="75"/>
      <c r="AJ846" s="75"/>
      <c r="AK846" s="75"/>
      <c r="AL846" s="75"/>
      <c r="AM846" s="75"/>
      <c r="AN846" s="75"/>
      <c r="AO846" s="76">
        <f t="shared" si="47"/>
        <v>0</v>
      </c>
      <c r="AP846" s="191"/>
    </row>
    <row r="847" spans="2:42" s="83" customFormat="1">
      <c r="B847" s="79" t="s">
        <v>75</v>
      </c>
      <c r="C847" s="82"/>
      <c r="D847" s="81"/>
      <c r="E847" s="81"/>
      <c r="F847" s="81"/>
      <c r="G847" s="81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75"/>
      <c r="AD847" s="75"/>
      <c r="AE847" s="75"/>
      <c r="AF847" s="75"/>
      <c r="AG847" s="166"/>
      <c r="AH847" s="166"/>
      <c r="AI847" s="75"/>
      <c r="AJ847" s="75"/>
      <c r="AK847" s="75"/>
      <c r="AL847" s="75"/>
      <c r="AM847" s="75"/>
      <c r="AN847" s="75"/>
      <c r="AO847" s="76">
        <f t="shared" si="47"/>
        <v>0</v>
      </c>
      <c r="AP847" s="191"/>
    </row>
    <row r="848" spans="2:42" s="83" customFormat="1" ht="16.5" thickBot="1">
      <c r="B848" s="79" t="s">
        <v>75</v>
      </c>
      <c r="C848" s="82"/>
      <c r="D848" s="81"/>
      <c r="E848" s="81"/>
      <c r="F848" s="81"/>
      <c r="G848" s="81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75"/>
      <c r="AD848" s="75"/>
      <c r="AE848" s="75"/>
      <c r="AF848" s="75"/>
      <c r="AG848" s="166"/>
      <c r="AH848" s="166"/>
      <c r="AI848" s="75"/>
      <c r="AJ848" s="75"/>
      <c r="AK848" s="75"/>
      <c r="AL848" s="75"/>
      <c r="AM848" s="75"/>
      <c r="AN848" s="75"/>
      <c r="AO848" s="76">
        <f t="shared" si="47"/>
        <v>0</v>
      </c>
      <c r="AP848" s="231"/>
    </row>
    <row r="849" spans="2:42" s="83" customFormat="1">
      <c r="B849" s="79" t="s">
        <v>75</v>
      </c>
      <c r="C849" s="82"/>
      <c r="D849" s="81"/>
      <c r="E849" s="81"/>
      <c r="F849" s="81"/>
      <c r="G849" s="81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75"/>
      <c r="AD849" s="75"/>
      <c r="AE849" s="75"/>
      <c r="AF849" s="75"/>
      <c r="AG849" s="166"/>
      <c r="AH849" s="166"/>
      <c r="AI849" s="75"/>
      <c r="AJ849" s="75"/>
      <c r="AK849" s="75"/>
      <c r="AL849" s="75"/>
      <c r="AM849" s="75"/>
      <c r="AN849" s="75"/>
      <c r="AO849" s="76">
        <f t="shared" si="47"/>
        <v>0</v>
      </c>
      <c r="AP849" s="561">
        <f>SUM(AO849:AO884)</f>
        <v>0</v>
      </c>
    </row>
    <row r="850" spans="2:42" s="83" customFormat="1">
      <c r="B850" s="79" t="s">
        <v>75</v>
      </c>
      <c r="C850" s="82"/>
      <c r="D850" s="81"/>
      <c r="E850" s="81"/>
      <c r="F850" s="81"/>
      <c r="G850" s="81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75"/>
      <c r="AD850" s="75"/>
      <c r="AE850" s="75"/>
      <c r="AF850" s="75"/>
      <c r="AG850" s="166"/>
      <c r="AH850" s="166"/>
      <c r="AI850" s="75"/>
      <c r="AJ850" s="75"/>
      <c r="AK850" s="75"/>
      <c r="AL850" s="75"/>
      <c r="AM850" s="75"/>
      <c r="AN850" s="75"/>
      <c r="AO850" s="76">
        <f t="shared" ref="AO850:AO859" si="48">SUM(I850:AN850)</f>
        <v>0</v>
      </c>
      <c r="AP850" s="562"/>
    </row>
    <row r="851" spans="2:42" s="83" customFormat="1">
      <c r="B851" s="79" t="s">
        <v>75</v>
      </c>
      <c r="C851" s="82"/>
      <c r="D851" s="81"/>
      <c r="E851" s="81"/>
      <c r="F851" s="81"/>
      <c r="G851" s="81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75"/>
      <c r="AD851" s="75"/>
      <c r="AE851" s="75"/>
      <c r="AF851" s="75"/>
      <c r="AG851" s="166"/>
      <c r="AH851" s="166"/>
      <c r="AI851" s="75"/>
      <c r="AJ851" s="75"/>
      <c r="AK851" s="75"/>
      <c r="AL851" s="75"/>
      <c r="AM851" s="75"/>
      <c r="AN851" s="75"/>
      <c r="AO851" s="76">
        <f t="shared" si="48"/>
        <v>0</v>
      </c>
      <c r="AP851" s="562"/>
    </row>
    <row r="852" spans="2:42" s="83" customFormat="1">
      <c r="B852" s="79" t="s">
        <v>75</v>
      </c>
      <c r="C852" s="82"/>
      <c r="D852" s="81"/>
      <c r="E852" s="81"/>
      <c r="F852" s="81"/>
      <c r="G852" s="81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75"/>
      <c r="AD852" s="75"/>
      <c r="AE852" s="75"/>
      <c r="AF852" s="75"/>
      <c r="AG852" s="166"/>
      <c r="AH852" s="166"/>
      <c r="AI852" s="75"/>
      <c r="AJ852" s="75"/>
      <c r="AK852" s="75"/>
      <c r="AL852" s="75"/>
      <c r="AM852" s="75"/>
      <c r="AN852" s="75"/>
      <c r="AO852" s="76">
        <f t="shared" si="48"/>
        <v>0</v>
      </c>
      <c r="AP852" s="562"/>
    </row>
    <row r="853" spans="2:42" s="83" customFormat="1">
      <c r="B853" s="79" t="s">
        <v>75</v>
      </c>
      <c r="C853" s="82"/>
      <c r="D853" s="81"/>
      <c r="E853" s="81"/>
      <c r="F853" s="81"/>
      <c r="G853" s="81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75"/>
      <c r="AD853" s="75"/>
      <c r="AE853" s="75"/>
      <c r="AF853" s="75"/>
      <c r="AG853" s="166"/>
      <c r="AH853" s="166"/>
      <c r="AI853" s="75"/>
      <c r="AJ853" s="75"/>
      <c r="AK853" s="75"/>
      <c r="AL853" s="75"/>
      <c r="AM853" s="75"/>
      <c r="AN853" s="75"/>
      <c r="AO853" s="76">
        <f t="shared" si="48"/>
        <v>0</v>
      </c>
      <c r="AP853" s="562"/>
    </row>
    <row r="854" spans="2:42" s="83" customFormat="1">
      <c r="B854" s="79" t="s">
        <v>75</v>
      </c>
      <c r="C854" s="82"/>
      <c r="D854" s="81"/>
      <c r="E854" s="81"/>
      <c r="F854" s="81"/>
      <c r="G854" s="81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75"/>
      <c r="AD854" s="75"/>
      <c r="AE854" s="75"/>
      <c r="AF854" s="75"/>
      <c r="AG854" s="166"/>
      <c r="AH854" s="166"/>
      <c r="AI854" s="75"/>
      <c r="AJ854" s="75"/>
      <c r="AK854" s="75"/>
      <c r="AL854" s="75"/>
      <c r="AM854" s="75"/>
      <c r="AN854" s="75"/>
      <c r="AO854" s="76">
        <f t="shared" si="48"/>
        <v>0</v>
      </c>
      <c r="AP854" s="562"/>
    </row>
    <row r="855" spans="2:42" s="83" customFormat="1">
      <c r="B855" s="79" t="s">
        <v>75</v>
      </c>
      <c r="C855" s="82"/>
      <c r="D855" s="81"/>
      <c r="E855" s="81"/>
      <c r="F855" s="81"/>
      <c r="G855" s="81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75"/>
      <c r="AD855" s="75"/>
      <c r="AE855" s="75"/>
      <c r="AF855" s="75"/>
      <c r="AG855" s="166"/>
      <c r="AH855" s="166"/>
      <c r="AI855" s="75"/>
      <c r="AJ855" s="75"/>
      <c r="AK855" s="75"/>
      <c r="AL855" s="75"/>
      <c r="AM855" s="75"/>
      <c r="AN855" s="75"/>
      <c r="AO855" s="76">
        <f t="shared" si="48"/>
        <v>0</v>
      </c>
      <c r="AP855" s="562"/>
    </row>
    <row r="856" spans="2:42" s="83" customFormat="1">
      <c r="B856" s="79" t="s">
        <v>75</v>
      </c>
      <c r="C856" s="82"/>
      <c r="D856" s="81"/>
      <c r="E856" s="81"/>
      <c r="F856" s="81"/>
      <c r="G856" s="81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75"/>
      <c r="AD856" s="75"/>
      <c r="AE856" s="75"/>
      <c r="AF856" s="75"/>
      <c r="AG856" s="166"/>
      <c r="AH856" s="166"/>
      <c r="AI856" s="75"/>
      <c r="AJ856" s="75"/>
      <c r="AK856" s="75"/>
      <c r="AL856" s="75"/>
      <c r="AM856" s="75"/>
      <c r="AN856" s="75"/>
      <c r="AO856" s="76">
        <f t="shared" si="48"/>
        <v>0</v>
      </c>
      <c r="AP856" s="562"/>
    </row>
    <row r="857" spans="2:42" s="83" customFormat="1">
      <c r="B857" s="79" t="s">
        <v>75</v>
      </c>
      <c r="C857" s="82"/>
      <c r="D857" s="81"/>
      <c r="E857" s="81"/>
      <c r="F857" s="81"/>
      <c r="G857" s="81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75"/>
      <c r="AD857" s="75"/>
      <c r="AE857" s="75"/>
      <c r="AF857" s="75"/>
      <c r="AG857" s="166"/>
      <c r="AH857" s="166"/>
      <c r="AI857" s="75"/>
      <c r="AJ857" s="75"/>
      <c r="AK857" s="75"/>
      <c r="AL857" s="75"/>
      <c r="AM857" s="75"/>
      <c r="AN857" s="75"/>
      <c r="AO857" s="76">
        <f t="shared" si="48"/>
        <v>0</v>
      </c>
      <c r="AP857" s="562"/>
    </row>
    <row r="858" spans="2:42" s="83" customFormat="1">
      <c r="B858" s="79" t="s">
        <v>75</v>
      </c>
      <c r="C858" s="82"/>
      <c r="D858" s="81"/>
      <c r="E858" s="81"/>
      <c r="F858" s="81"/>
      <c r="G858" s="81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75"/>
      <c r="AD858" s="75"/>
      <c r="AE858" s="75"/>
      <c r="AF858" s="75"/>
      <c r="AG858" s="166"/>
      <c r="AH858" s="166"/>
      <c r="AI858" s="75"/>
      <c r="AJ858" s="75"/>
      <c r="AK858" s="75"/>
      <c r="AL858" s="75"/>
      <c r="AM858" s="75"/>
      <c r="AN858" s="75"/>
      <c r="AO858" s="76">
        <f t="shared" si="48"/>
        <v>0</v>
      </c>
      <c r="AP858" s="562"/>
    </row>
    <row r="859" spans="2:42" s="83" customFormat="1">
      <c r="B859" s="79" t="s">
        <v>75</v>
      </c>
      <c r="C859" s="82"/>
      <c r="D859" s="81"/>
      <c r="E859" s="81"/>
      <c r="F859" s="81"/>
      <c r="G859" s="81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75"/>
      <c r="AD859" s="75"/>
      <c r="AE859" s="75"/>
      <c r="AF859" s="75"/>
      <c r="AG859" s="166"/>
      <c r="AH859" s="166"/>
      <c r="AI859" s="75"/>
      <c r="AJ859" s="75"/>
      <c r="AK859" s="75"/>
      <c r="AL859" s="75"/>
      <c r="AM859" s="75"/>
      <c r="AN859" s="75"/>
      <c r="AO859" s="76">
        <f t="shared" si="48"/>
        <v>0</v>
      </c>
      <c r="AP859" s="562"/>
    </row>
    <row r="860" spans="2:42" s="83" customFormat="1">
      <c r="B860" s="79" t="s">
        <v>75</v>
      </c>
      <c r="C860" s="82"/>
      <c r="D860" s="81"/>
      <c r="E860" s="81"/>
      <c r="F860" s="81"/>
      <c r="G860" s="81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75"/>
      <c r="AD860" s="75"/>
      <c r="AE860" s="75"/>
      <c r="AF860" s="75"/>
      <c r="AG860" s="166"/>
      <c r="AH860" s="166"/>
      <c r="AI860" s="75"/>
      <c r="AJ860" s="75"/>
      <c r="AK860" s="75"/>
      <c r="AL860" s="75"/>
      <c r="AM860" s="75"/>
      <c r="AN860" s="75"/>
      <c r="AO860" s="76">
        <f t="shared" ref="AO860:AO865" si="49">SUM(I860:AN860)</f>
        <v>0</v>
      </c>
      <c r="AP860" s="562"/>
    </row>
    <row r="861" spans="2:42" s="83" customFormat="1">
      <c r="B861" s="79" t="s">
        <v>75</v>
      </c>
      <c r="C861" s="82"/>
      <c r="D861" s="81"/>
      <c r="E861" s="81"/>
      <c r="F861" s="81"/>
      <c r="G861" s="81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75"/>
      <c r="AD861" s="75"/>
      <c r="AE861" s="75"/>
      <c r="AF861" s="75"/>
      <c r="AG861" s="166"/>
      <c r="AH861" s="166"/>
      <c r="AI861" s="75"/>
      <c r="AJ861" s="75"/>
      <c r="AK861" s="75"/>
      <c r="AL861" s="75"/>
      <c r="AM861" s="75"/>
      <c r="AN861" s="75"/>
      <c r="AO861" s="76">
        <f t="shared" si="49"/>
        <v>0</v>
      </c>
      <c r="AP861" s="562"/>
    </row>
    <row r="862" spans="2:42" s="83" customFormat="1">
      <c r="B862" s="79" t="s">
        <v>75</v>
      </c>
      <c r="C862" s="82"/>
      <c r="D862" s="81"/>
      <c r="E862" s="81"/>
      <c r="F862" s="81"/>
      <c r="G862" s="81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75"/>
      <c r="AD862" s="75"/>
      <c r="AE862" s="75"/>
      <c r="AF862" s="75"/>
      <c r="AG862" s="166"/>
      <c r="AH862" s="166"/>
      <c r="AI862" s="75"/>
      <c r="AJ862" s="75"/>
      <c r="AK862" s="75"/>
      <c r="AL862" s="75"/>
      <c r="AM862" s="75"/>
      <c r="AN862" s="75"/>
      <c r="AO862" s="76">
        <f t="shared" si="49"/>
        <v>0</v>
      </c>
      <c r="AP862" s="562"/>
    </row>
    <row r="863" spans="2:42" s="83" customFormat="1">
      <c r="B863" s="79" t="s">
        <v>75</v>
      </c>
      <c r="C863" s="82"/>
      <c r="D863" s="81"/>
      <c r="E863" s="81"/>
      <c r="F863" s="81"/>
      <c r="G863" s="81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75"/>
      <c r="AD863" s="75"/>
      <c r="AE863" s="75"/>
      <c r="AF863" s="75"/>
      <c r="AG863" s="166"/>
      <c r="AH863" s="166"/>
      <c r="AI863" s="75"/>
      <c r="AJ863" s="75"/>
      <c r="AK863" s="75"/>
      <c r="AL863" s="75"/>
      <c r="AM863" s="75"/>
      <c r="AN863" s="75"/>
      <c r="AO863" s="76">
        <f t="shared" si="49"/>
        <v>0</v>
      </c>
      <c r="AP863" s="562"/>
    </row>
    <row r="864" spans="2:42" s="83" customFormat="1">
      <c r="B864" s="79" t="s">
        <v>75</v>
      </c>
      <c r="C864" s="82"/>
      <c r="D864" s="81"/>
      <c r="E864" s="81"/>
      <c r="F864" s="81"/>
      <c r="G864" s="81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75"/>
      <c r="AD864" s="75"/>
      <c r="AE864" s="75"/>
      <c r="AF864" s="75"/>
      <c r="AG864" s="166"/>
      <c r="AH864" s="166"/>
      <c r="AI864" s="75"/>
      <c r="AJ864" s="75"/>
      <c r="AK864" s="75"/>
      <c r="AL864" s="75"/>
      <c r="AM864" s="75"/>
      <c r="AN864" s="75"/>
      <c r="AO864" s="76">
        <f t="shared" si="49"/>
        <v>0</v>
      </c>
      <c r="AP864" s="562"/>
    </row>
    <row r="865" spans="2:42" s="83" customFormat="1">
      <c r="B865" s="79" t="s">
        <v>75</v>
      </c>
      <c r="C865" s="82"/>
      <c r="D865" s="81"/>
      <c r="E865" s="81"/>
      <c r="F865" s="81"/>
      <c r="G865" s="81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75"/>
      <c r="AD865" s="75"/>
      <c r="AE865" s="75"/>
      <c r="AF865" s="75"/>
      <c r="AG865" s="166"/>
      <c r="AH865" s="166"/>
      <c r="AI865" s="75"/>
      <c r="AJ865" s="75"/>
      <c r="AK865" s="75"/>
      <c r="AL865" s="75"/>
      <c r="AM865" s="75"/>
      <c r="AN865" s="75"/>
      <c r="AO865" s="76">
        <f t="shared" si="49"/>
        <v>0</v>
      </c>
      <c r="AP865" s="562"/>
    </row>
    <row r="866" spans="2:42" s="83" customFormat="1">
      <c r="B866" s="79" t="s">
        <v>75</v>
      </c>
      <c r="C866" s="82"/>
      <c r="D866" s="81"/>
      <c r="E866" s="81"/>
      <c r="F866" s="81"/>
      <c r="G866" s="81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75"/>
      <c r="AD866" s="75"/>
      <c r="AE866" s="75"/>
      <c r="AF866" s="75"/>
      <c r="AG866" s="166"/>
      <c r="AH866" s="166"/>
      <c r="AI866" s="75"/>
      <c r="AJ866" s="75"/>
      <c r="AK866" s="75"/>
      <c r="AL866" s="75"/>
      <c r="AM866" s="75"/>
      <c r="AN866" s="75"/>
      <c r="AO866" s="76">
        <f t="shared" ref="AO866:AO876" si="50">SUM(I866:AN866)</f>
        <v>0</v>
      </c>
      <c r="AP866" s="562"/>
    </row>
    <row r="867" spans="2:42" s="83" customFormat="1">
      <c r="B867" s="79" t="s">
        <v>75</v>
      </c>
      <c r="C867" s="82"/>
      <c r="D867" s="81"/>
      <c r="E867" s="81"/>
      <c r="F867" s="81"/>
      <c r="G867" s="81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75"/>
      <c r="AD867" s="75"/>
      <c r="AE867" s="75"/>
      <c r="AF867" s="75"/>
      <c r="AG867" s="166"/>
      <c r="AH867" s="166"/>
      <c r="AI867" s="75"/>
      <c r="AJ867" s="75"/>
      <c r="AK867" s="75"/>
      <c r="AL867" s="75"/>
      <c r="AM867" s="75"/>
      <c r="AN867" s="75"/>
      <c r="AO867" s="76">
        <f t="shared" si="50"/>
        <v>0</v>
      </c>
      <c r="AP867" s="562"/>
    </row>
    <row r="868" spans="2:42" s="83" customFormat="1">
      <c r="B868" s="79" t="s">
        <v>75</v>
      </c>
      <c r="C868" s="82"/>
      <c r="D868" s="81"/>
      <c r="E868" s="81"/>
      <c r="F868" s="81"/>
      <c r="G868" s="81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75"/>
      <c r="AD868" s="75"/>
      <c r="AE868" s="75"/>
      <c r="AF868" s="75"/>
      <c r="AG868" s="166"/>
      <c r="AH868" s="166"/>
      <c r="AI868" s="75"/>
      <c r="AJ868" s="75"/>
      <c r="AK868" s="75"/>
      <c r="AL868" s="75"/>
      <c r="AM868" s="75"/>
      <c r="AN868" s="75"/>
      <c r="AO868" s="76">
        <f t="shared" si="50"/>
        <v>0</v>
      </c>
      <c r="AP868" s="562"/>
    </row>
    <row r="869" spans="2:42" s="83" customFormat="1">
      <c r="B869" s="79" t="s">
        <v>75</v>
      </c>
      <c r="C869" s="82"/>
      <c r="D869" s="81"/>
      <c r="E869" s="81"/>
      <c r="F869" s="81"/>
      <c r="G869" s="81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75"/>
      <c r="AD869" s="75"/>
      <c r="AE869" s="75"/>
      <c r="AF869" s="75"/>
      <c r="AG869" s="166"/>
      <c r="AH869" s="166"/>
      <c r="AI869" s="75"/>
      <c r="AJ869" s="75"/>
      <c r="AK869" s="75"/>
      <c r="AL869" s="75"/>
      <c r="AM869" s="75"/>
      <c r="AN869" s="75"/>
      <c r="AO869" s="76">
        <f t="shared" si="50"/>
        <v>0</v>
      </c>
      <c r="AP869" s="562"/>
    </row>
    <row r="870" spans="2:42" s="83" customFormat="1">
      <c r="B870" s="79" t="s">
        <v>75</v>
      </c>
      <c r="C870" s="82"/>
      <c r="D870" s="81"/>
      <c r="E870" s="81"/>
      <c r="F870" s="81"/>
      <c r="G870" s="81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75"/>
      <c r="AD870" s="75"/>
      <c r="AE870" s="75"/>
      <c r="AF870" s="75"/>
      <c r="AG870" s="166"/>
      <c r="AH870" s="166"/>
      <c r="AI870" s="75"/>
      <c r="AJ870" s="75"/>
      <c r="AK870" s="75"/>
      <c r="AL870" s="75"/>
      <c r="AM870" s="75"/>
      <c r="AN870" s="75"/>
      <c r="AO870" s="76">
        <f t="shared" si="50"/>
        <v>0</v>
      </c>
      <c r="AP870" s="562"/>
    </row>
    <row r="871" spans="2:42" s="83" customFormat="1">
      <c r="B871" s="79" t="s">
        <v>75</v>
      </c>
      <c r="C871" s="82"/>
      <c r="D871" s="81"/>
      <c r="E871" s="81"/>
      <c r="F871" s="81"/>
      <c r="G871" s="81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75"/>
      <c r="AD871" s="75"/>
      <c r="AE871" s="75"/>
      <c r="AF871" s="75"/>
      <c r="AG871" s="166"/>
      <c r="AH871" s="166"/>
      <c r="AI871" s="75"/>
      <c r="AJ871" s="75"/>
      <c r="AK871" s="75"/>
      <c r="AL871" s="75"/>
      <c r="AM871" s="75"/>
      <c r="AN871" s="75"/>
      <c r="AO871" s="76">
        <f t="shared" si="50"/>
        <v>0</v>
      </c>
      <c r="AP871" s="562"/>
    </row>
    <row r="872" spans="2:42" s="83" customFormat="1">
      <c r="B872" s="79" t="s">
        <v>75</v>
      </c>
      <c r="C872" s="82"/>
      <c r="D872" s="81"/>
      <c r="E872" s="81"/>
      <c r="F872" s="81"/>
      <c r="G872" s="81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75"/>
      <c r="AD872" s="75"/>
      <c r="AE872" s="75"/>
      <c r="AF872" s="75"/>
      <c r="AG872" s="166"/>
      <c r="AH872" s="166"/>
      <c r="AI872" s="75"/>
      <c r="AJ872" s="75"/>
      <c r="AK872" s="75"/>
      <c r="AL872" s="75"/>
      <c r="AM872" s="75"/>
      <c r="AN872" s="75"/>
      <c r="AO872" s="76">
        <f t="shared" si="50"/>
        <v>0</v>
      </c>
      <c r="AP872" s="562"/>
    </row>
    <row r="873" spans="2:42" s="83" customFormat="1">
      <c r="B873" s="79" t="s">
        <v>75</v>
      </c>
      <c r="C873" s="82"/>
      <c r="D873" s="81"/>
      <c r="E873" s="81"/>
      <c r="F873" s="81"/>
      <c r="G873" s="81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75"/>
      <c r="AD873" s="75"/>
      <c r="AE873" s="75"/>
      <c r="AF873" s="75"/>
      <c r="AG873" s="166"/>
      <c r="AH873" s="166"/>
      <c r="AI873" s="75"/>
      <c r="AJ873" s="75"/>
      <c r="AK873" s="75"/>
      <c r="AL873" s="75"/>
      <c r="AM873" s="75"/>
      <c r="AN873" s="75"/>
      <c r="AO873" s="76">
        <f t="shared" si="50"/>
        <v>0</v>
      </c>
      <c r="AP873" s="562"/>
    </row>
    <row r="874" spans="2:42" s="83" customFormat="1">
      <c r="B874" s="79" t="s">
        <v>75</v>
      </c>
      <c r="C874" s="82"/>
      <c r="D874" s="81"/>
      <c r="E874" s="81"/>
      <c r="F874" s="81"/>
      <c r="G874" s="81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75"/>
      <c r="AD874" s="75"/>
      <c r="AE874" s="75"/>
      <c r="AF874" s="75"/>
      <c r="AG874" s="166"/>
      <c r="AH874" s="166"/>
      <c r="AI874" s="75"/>
      <c r="AJ874" s="75"/>
      <c r="AK874" s="75"/>
      <c r="AL874" s="75"/>
      <c r="AM874" s="75"/>
      <c r="AN874" s="75"/>
      <c r="AO874" s="76">
        <f t="shared" si="50"/>
        <v>0</v>
      </c>
      <c r="AP874" s="562"/>
    </row>
    <row r="875" spans="2:42" s="83" customFormat="1">
      <c r="B875" s="79" t="s">
        <v>75</v>
      </c>
      <c r="C875" s="82"/>
      <c r="D875" s="81"/>
      <c r="E875" s="81"/>
      <c r="F875" s="81"/>
      <c r="G875" s="81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75"/>
      <c r="AD875" s="75"/>
      <c r="AE875" s="75"/>
      <c r="AF875" s="75"/>
      <c r="AG875" s="166"/>
      <c r="AH875" s="166"/>
      <c r="AI875" s="75"/>
      <c r="AJ875" s="75"/>
      <c r="AK875" s="75"/>
      <c r="AL875" s="75"/>
      <c r="AM875" s="75"/>
      <c r="AN875" s="75"/>
      <c r="AO875" s="76">
        <f t="shared" si="50"/>
        <v>0</v>
      </c>
      <c r="AP875" s="562"/>
    </row>
    <row r="876" spans="2:42" s="83" customFormat="1">
      <c r="B876" s="79" t="s">
        <v>75</v>
      </c>
      <c r="C876" s="82"/>
      <c r="D876" s="81"/>
      <c r="E876" s="81"/>
      <c r="F876" s="81"/>
      <c r="G876" s="81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75"/>
      <c r="AD876" s="75"/>
      <c r="AE876" s="75"/>
      <c r="AF876" s="75"/>
      <c r="AG876" s="166"/>
      <c r="AH876" s="166"/>
      <c r="AI876" s="75"/>
      <c r="AJ876" s="75"/>
      <c r="AK876" s="75"/>
      <c r="AL876" s="75"/>
      <c r="AM876" s="75"/>
      <c r="AN876" s="75"/>
      <c r="AO876" s="76">
        <f t="shared" si="50"/>
        <v>0</v>
      </c>
      <c r="AP876" s="562"/>
    </row>
    <row r="877" spans="2:42" s="83" customFormat="1">
      <c r="B877" s="79" t="s">
        <v>75</v>
      </c>
      <c r="C877" s="82"/>
      <c r="D877" s="81"/>
      <c r="E877" s="81"/>
      <c r="F877" s="81"/>
      <c r="G877" s="81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75"/>
      <c r="AD877" s="75"/>
      <c r="AE877" s="75"/>
      <c r="AF877" s="75"/>
      <c r="AG877" s="166"/>
      <c r="AH877" s="166"/>
      <c r="AI877" s="75"/>
      <c r="AJ877" s="75"/>
      <c r="AK877" s="75"/>
      <c r="AL877" s="75"/>
      <c r="AM877" s="75"/>
      <c r="AN877" s="75"/>
      <c r="AO877" s="76">
        <f t="shared" ref="AO877:AO882" si="51">SUM(I877:AN877)</f>
        <v>0</v>
      </c>
      <c r="AP877" s="562"/>
    </row>
    <row r="878" spans="2:42" s="83" customFormat="1">
      <c r="B878" s="79" t="s">
        <v>75</v>
      </c>
      <c r="C878" s="82"/>
      <c r="D878" s="81"/>
      <c r="E878" s="81"/>
      <c r="F878" s="81"/>
      <c r="G878" s="81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75"/>
      <c r="AD878" s="75"/>
      <c r="AE878" s="75"/>
      <c r="AF878" s="75"/>
      <c r="AG878" s="166"/>
      <c r="AH878" s="166"/>
      <c r="AI878" s="75"/>
      <c r="AJ878" s="75"/>
      <c r="AK878" s="75"/>
      <c r="AL878" s="75"/>
      <c r="AM878" s="75"/>
      <c r="AN878" s="75"/>
      <c r="AO878" s="76">
        <f t="shared" si="51"/>
        <v>0</v>
      </c>
      <c r="AP878" s="562"/>
    </row>
    <row r="879" spans="2:42" s="83" customFormat="1">
      <c r="B879" s="79" t="s">
        <v>75</v>
      </c>
      <c r="C879" s="82"/>
      <c r="D879" s="81"/>
      <c r="E879" s="81"/>
      <c r="F879" s="81"/>
      <c r="G879" s="81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75"/>
      <c r="AD879" s="75"/>
      <c r="AE879" s="75"/>
      <c r="AF879" s="75"/>
      <c r="AG879" s="166"/>
      <c r="AH879" s="166"/>
      <c r="AI879" s="75"/>
      <c r="AJ879" s="75"/>
      <c r="AK879" s="75"/>
      <c r="AL879" s="75"/>
      <c r="AM879" s="75"/>
      <c r="AN879" s="75"/>
      <c r="AO879" s="76">
        <f t="shared" si="51"/>
        <v>0</v>
      </c>
      <c r="AP879" s="562"/>
    </row>
    <row r="880" spans="2:42" s="83" customFormat="1">
      <c r="B880" s="79" t="s">
        <v>75</v>
      </c>
      <c r="C880" s="82"/>
      <c r="D880" s="81"/>
      <c r="E880" s="81"/>
      <c r="F880" s="81"/>
      <c r="G880" s="81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75"/>
      <c r="AD880" s="75"/>
      <c r="AE880" s="75"/>
      <c r="AF880" s="75"/>
      <c r="AG880" s="166"/>
      <c r="AH880" s="166"/>
      <c r="AI880" s="75"/>
      <c r="AJ880" s="75"/>
      <c r="AK880" s="75"/>
      <c r="AL880" s="75"/>
      <c r="AM880" s="75"/>
      <c r="AN880" s="75"/>
      <c r="AO880" s="76">
        <f t="shared" si="51"/>
        <v>0</v>
      </c>
      <c r="AP880" s="562"/>
    </row>
    <row r="881" spans="2:42" s="83" customFormat="1">
      <c r="B881" s="79" t="s">
        <v>75</v>
      </c>
      <c r="C881" s="82"/>
      <c r="D881" s="81"/>
      <c r="E881" s="81"/>
      <c r="F881" s="81"/>
      <c r="G881" s="81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75"/>
      <c r="AD881" s="75"/>
      <c r="AE881" s="75"/>
      <c r="AF881" s="75"/>
      <c r="AG881" s="166"/>
      <c r="AH881" s="166"/>
      <c r="AI881" s="75"/>
      <c r="AJ881" s="75"/>
      <c r="AK881" s="75"/>
      <c r="AL881" s="75"/>
      <c r="AM881" s="75"/>
      <c r="AN881" s="75"/>
      <c r="AO881" s="76">
        <f t="shared" si="51"/>
        <v>0</v>
      </c>
      <c r="AP881" s="562"/>
    </row>
    <row r="882" spans="2:42" s="83" customFormat="1">
      <c r="B882" s="79" t="s">
        <v>75</v>
      </c>
      <c r="C882" s="82"/>
      <c r="D882" s="81"/>
      <c r="E882" s="81"/>
      <c r="F882" s="81"/>
      <c r="G882" s="81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75"/>
      <c r="AD882" s="75"/>
      <c r="AE882" s="75"/>
      <c r="AF882" s="75"/>
      <c r="AG882" s="166"/>
      <c r="AH882" s="166"/>
      <c r="AI882" s="75"/>
      <c r="AJ882" s="75"/>
      <c r="AK882" s="75"/>
      <c r="AL882" s="75"/>
      <c r="AM882" s="75"/>
      <c r="AN882" s="75"/>
      <c r="AO882" s="76">
        <f t="shared" si="51"/>
        <v>0</v>
      </c>
      <c r="AP882" s="562"/>
    </row>
    <row r="883" spans="2:42" s="83" customFormat="1">
      <c r="B883" s="79" t="s">
        <v>75</v>
      </c>
      <c r="C883" s="82"/>
      <c r="D883" s="81"/>
      <c r="E883" s="81"/>
      <c r="F883" s="81"/>
      <c r="G883" s="81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75"/>
      <c r="AD883" s="75"/>
      <c r="AE883" s="75"/>
      <c r="AF883" s="75"/>
      <c r="AG883" s="166"/>
      <c r="AH883" s="166"/>
      <c r="AI883" s="75"/>
      <c r="AJ883" s="75"/>
      <c r="AK883" s="75"/>
      <c r="AL883" s="75"/>
      <c r="AM883" s="75"/>
      <c r="AN883" s="75"/>
      <c r="AO883" s="76">
        <f>SUM(I883:AN883)</f>
        <v>0</v>
      </c>
      <c r="AP883" s="562"/>
    </row>
    <row r="884" spans="2:42" s="83" customFormat="1" ht="16.5" thickBot="1">
      <c r="B884" s="79" t="s">
        <v>75</v>
      </c>
      <c r="C884" s="82"/>
      <c r="D884" s="81"/>
      <c r="E884" s="81"/>
      <c r="F884" s="81"/>
      <c r="G884" s="81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75"/>
      <c r="AD884" s="75"/>
      <c r="AE884" s="75"/>
      <c r="AF884" s="75"/>
      <c r="AG884" s="166"/>
      <c r="AH884" s="166"/>
      <c r="AI884" s="75"/>
      <c r="AJ884" s="75"/>
      <c r="AK884" s="75"/>
      <c r="AL884" s="75"/>
      <c r="AM884" s="75"/>
      <c r="AN884" s="75"/>
      <c r="AO884" s="76">
        <f>SUM(I884:AN884)</f>
        <v>0</v>
      </c>
      <c r="AP884" s="563"/>
    </row>
    <row r="885" spans="2:42" s="83" customFormat="1">
      <c r="B885" s="79" t="s">
        <v>75</v>
      </c>
      <c r="C885" s="82"/>
      <c r="D885" s="81"/>
      <c r="E885" s="81"/>
      <c r="F885" s="81"/>
      <c r="G885" s="81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75"/>
      <c r="AD885" s="75"/>
      <c r="AE885" s="75"/>
      <c r="AF885" s="75"/>
      <c r="AG885" s="166"/>
      <c r="AH885" s="166"/>
      <c r="AI885" s="75"/>
      <c r="AJ885" s="75"/>
      <c r="AK885" s="75"/>
      <c r="AL885" s="75"/>
      <c r="AM885" s="75"/>
      <c r="AN885" s="75"/>
      <c r="AO885" s="76">
        <f>SUM(I885:AN885)</f>
        <v>0</v>
      </c>
      <c r="AP885" s="561">
        <f>SUM(AO885:AO914)</f>
        <v>0</v>
      </c>
    </row>
    <row r="886" spans="2:42" s="83" customFormat="1">
      <c r="B886" s="79" t="s">
        <v>75</v>
      </c>
      <c r="C886" s="82"/>
      <c r="D886" s="81"/>
      <c r="E886" s="81"/>
      <c r="F886" s="81"/>
      <c r="G886" s="81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75"/>
      <c r="AD886" s="75"/>
      <c r="AE886" s="75"/>
      <c r="AF886" s="75"/>
      <c r="AG886" s="166"/>
      <c r="AH886" s="166"/>
      <c r="AI886" s="75"/>
      <c r="AJ886" s="75"/>
      <c r="AK886" s="75"/>
      <c r="AL886" s="75"/>
      <c r="AM886" s="75"/>
      <c r="AN886" s="75"/>
      <c r="AO886" s="76">
        <f>SUM(I886:AN886)</f>
        <v>0</v>
      </c>
      <c r="AP886" s="562"/>
    </row>
    <row r="887" spans="2:42" s="83" customFormat="1">
      <c r="B887" s="79" t="s">
        <v>75</v>
      </c>
      <c r="C887" s="82"/>
      <c r="D887" s="81"/>
      <c r="E887" s="81"/>
      <c r="F887" s="81"/>
      <c r="G887" s="81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75"/>
      <c r="AD887" s="75"/>
      <c r="AE887" s="75"/>
      <c r="AF887" s="75"/>
      <c r="AG887" s="166"/>
      <c r="AH887" s="166"/>
      <c r="AI887" s="75"/>
      <c r="AJ887" s="75"/>
      <c r="AK887" s="75"/>
      <c r="AL887" s="75"/>
      <c r="AM887" s="75"/>
      <c r="AN887" s="75"/>
      <c r="AO887" s="76">
        <f>SUM(I887:AN887)</f>
        <v>0</v>
      </c>
      <c r="AP887" s="562"/>
    </row>
    <row r="888" spans="2:42" s="83" customFormat="1">
      <c r="B888" s="79" t="s">
        <v>75</v>
      </c>
      <c r="C888" s="82"/>
      <c r="D888" s="81"/>
      <c r="E888" s="81"/>
      <c r="F888" s="81"/>
      <c r="G888" s="81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75"/>
      <c r="AD888" s="75"/>
      <c r="AE888" s="75"/>
      <c r="AF888" s="75"/>
      <c r="AG888" s="166"/>
      <c r="AH888" s="166"/>
      <c r="AI888" s="75"/>
      <c r="AJ888" s="75"/>
      <c r="AK888" s="75"/>
      <c r="AL888" s="75"/>
      <c r="AM888" s="75"/>
      <c r="AN888" s="75"/>
      <c r="AO888" s="76">
        <f t="shared" ref="AO888:AO900" si="52">SUM(I888:AN888)</f>
        <v>0</v>
      </c>
      <c r="AP888" s="562"/>
    </row>
    <row r="889" spans="2:42" s="83" customFormat="1">
      <c r="B889" s="79" t="s">
        <v>75</v>
      </c>
      <c r="C889" s="82"/>
      <c r="D889" s="81"/>
      <c r="E889" s="81"/>
      <c r="F889" s="81"/>
      <c r="G889" s="81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75"/>
      <c r="AD889" s="75"/>
      <c r="AE889" s="75"/>
      <c r="AF889" s="75"/>
      <c r="AG889" s="166"/>
      <c r="AH889" s="166"/>
      <c r="AI889" s="75"/>
      <c r="AJ889" s="75"/>
      <c r="AK889" s="75"/>
      <c r="AL889" s="75"/>
      <c r="AM889" s="75"/>
      <c r="AN889" s="75"/>
      <c r="AO889" s="76">
        <f t="shared" si="52"/>
        <v>0</v>
      </c>
      <c r="AP889" s="562"/>
    </row>
    <row r="890" spans="2:42" s="83" customFormat="1">
      <c r="B890" s="79" t="s">
        <v>75</v>
      </c>
      <c r="C890" s="82"/>
      <c r="D890" s="81"/>
      <c r="E890" s="81"/>
      <c r="F890" s="81"/>
      <c r="G890" s="81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75"/>
      <c r="AD890" s="75"/>
      <c r="AE890" s="75"/>
      <c r="AF890" s="75"/>
      <c r="AG890" s="166"/>
      <c r="AH890" s="166"/>
      <c r="AI890" s="75"/>
      <c r="AJ890" s="75"/>
      <c r="AK890" s="75"/>
      <c r="AL890" s="75"/>
      <c r="AM890" s="75"/>
      <c r="AN890" s="75"/>
      <c r="AO890" s="76">
        <f t="shared" si="52"/>
        <v>0</v>
      </c>
      <c r="AP890" s="562"/>
    </row>
    <row r="891" spans="2:42" s="83" customFormat="1">
      <c r="B891" s="79" t="s">
        <v>75</v>
      </c>
      <c r="C891" s="82"/>
      <c r="D891" s="81"/>
      <c r="E891" s="81"/>
      <c r="F891" s="81"/>
      <c r="G891" s="81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75"/>
      <c r="AD891" s="75"/>
      <c r="AE891" s="75"/>
      <c r="AF891" s="75"/>
      <c r="AG891" s="166"/>
      <c r="AH891" s="166"/>
      <c r="AI891" s="75"/>
      <c r="AJ891" s="75"/>
      <c r="AK891" s="75"/>
      <c r="AL891" s="75"/>
      <c r="AM891" s="75"/>
      <c r="AN891" s="75"/>
      <c r="AO891" s="76">
        <f t="shared" si="52"/>
        <v>0</v>
      </c>
      <c r="AP891" s="562"/>
    </row>
    <row r="892" spans="2:42" s="83" customFormat="1">
      <c r="B892" s="79" t="s">
        <v>75</v>
      </c>
      <c r="C892" s="82"/>
      <c r="D892" s="81"/>
      <c r="E892" s="81"/>
      <c r="F892" s="81"/>
      <c r="G892" s="81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75"/>
      <c r="AD892" s="75"/>
      <c r="AE892" s="75"/>
      <c r="AF892" s="75"/>
      <c r="AG892" s="166"/>
      <c r="AH892" s="166"/>
      <c r="AI892" s="75"/>
      <c r="AJ892" s="75"/>
      <c r="AK892" s="75"/>
      <c r="AL892" s="75"/>
      <c r="AM892" s="75"/>
      <c r="AN892" s="75"/>
      <c r="AO892" s="76">
        <f t="shared" si="52"/>
        <v>0</v>
      </c>
      <c r="AP892" s="562"/>
    </row>
    <row r="893" spans="2:42" s="83" customFormat="1">
      <c r="B893" s="79" t="s">
        <v>75</v>
      </c>
      <c r="C893" s="82"/>
      <c r="D893" s="81"/>
      <c r="E893" s="81"/>
      <c r="F893" s="81"/>
      <c r="G893" s="81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75"/>
      <c r="AD893" s="75"/>
      <c r="AE893" s="75"/>
      <c r="AF893" s="75"/>
      <c r="AG893" s="166"/>
      <c r="AH893" s="166"/>
      <c r="AI893" s="75"/>
      <c r="AJ893" s="75"/>
      <c r="AK893" s="75"/>
      <c r="AL893" s="75"/>
      <c r="AM893" s="75"/>
      <c r="AN893" s="75"/>
      <c r="AO893" s="76">
        <f t="shared" si="52"/>
        <v>0</v>
      </c>
      <c r="AP893" s="562"/>
    </row>
    <row r="894" spans="2:42" s="83" customFormat="1">
      <c r="B894" s="79" t="s">
        <v>75</v>
      </c>
      <c r="C894" s="82"/>
      <c r="D894" s="81"/>
      <c r="E894" s="81"/>
      <c r="F894" s="81"/>
      <c r="G894" s="81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75"/>
      <c r="AD894" s="75"/>
      <c r="AE894" s="75"/>
      <c r="AF894" s="75"/>
      <c r="AG894" s="166"/>
      <c r="AH894" s="166"/>
      <c r="AI894" s="75"/>
      <c r="AJ894" s="75"/>
      <c r="AK894" s="75"/>
      <c r="AL894" s="75"/>
      <c r="AM894" s="75"/>
      <c r="AN894" s="75"/>
      <c r="AO894" s="76">
        <f t="shared" si="52"/>
        <v>0</v>
      </c>
      <c r="AP894" s="562"/>
    </row>
    <row r="895" spans="2:42" s="83" customFormat="1">
      <c r="B895" s="79" t="s">
        <v>75</v>
      </c>
      <c r="C895" s="82"/>
      <c r="D895" s="81"/>
      <c r="E895" s="81"/>
      <c r="F895" s="81"/>
      <c r="G895" s="81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75"/>
      <c r="AD895" s="75"/>
      <c r="AE895" s="75"/>
      <c r="AF895" s="75"/>
      <c r="AG895" s="166"/>
      <c r="AH895" s="166"/>
      <c r="AI895" s="75"/>
      <c r="AJ895" s="75"/>
      <c r="AK895" s="75"/>
      <c r="AL895" s="75"/>
      <c r="AM895" s="75"/>
      <c r="AN895" s="75"/>
      <c r="AO895" s="76">
        <f t="shared" si="52"/>
        <v>0</v>
      </c>
      <c r="AP895" s="562"/>
    </row>
    <row r="896" spans="2:42" s="83" customFormat="1">
      <c r="B896" s="79" t="s">
        <v>75</v>
      </c>
      <c r="C896" s="82"/>
      <c r="D896" s="81"/>
      <c r="E896" s="81"/>
      <c r="F896" s="81"/>
      <c r="G896" s="81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75"/>
      <c r="AD896" s="75"/>
      <c r="AE896" s="75"/>
      <c r="AF896" s="75"/>
      <c r="AG896" s="166"/>
      <c r="AH896" s="166"/>
      <c r="AI896" s="75"/>
      <c r="AJ896" s="75"/>
      <c r="AK896" s="75"/>
      <c r="AL896" s="75"/>
      <c r="AM896" s="75"/>
      <c r="AN896" s="75"/>
      <c r="AO896" s="76">
        <f t="shared" si="52"/>
        <v>0</v>
      </c>
      <c r="AP896" s="562"/>
    </row>
    <row r="897" spans="2:42" s="83" customFormat="1">
      <c r="B897" s="79" t="s">
        <v>75</v>
      </c>
      <c r="C897" s="82"/>
      <c r="D897" s="81"/>
      <c r="E897" s="81"/>
      <c r="F897" s="81"/>
      <c r="G897" s="81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75"/>
      <c r="AD897" s="75"/>
      <c r="AE897" s="75"/>
      <c r="AF897" s="75"/>
      <c r="AG897" s="166"/>
      <c r="AH897" s="166"/>
      <c r="AI897" s="75"/>
      <c r="AJ897" s="75"/>
      <c r="AK897" s="75"/>
      <c r="AL897" s="75"/>
      <c r="AM897" s="75"/>
      <c r="AN897" s="75"/>
      <c r="AO897" s="76">
        <f t="shared" si="52"/>
        <v>0</v>
      </c>
      <c r="AP897" s="562"/>
    </row>
    <row r="898" spans="2:42" s="83" customFormat="1">
      <c r="B898" s="79" t="s">
        <v>75</v>
      </c>
      <c r="C898" s="82"/>
      <c r="D898" s="81"/>
      <c r="E898" s="81"/>
      <c r="F898" s="81"/>
      <c r="G898" s="81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75"/>
      <c r="AD898" s="75"/>
      <c r="AE898" s="75"/>
      <c r="AF898" s="75"/>
      <c r="AG898" s="166"/>
      <c r="AH898" s="166"/>
      <c r="AI898" s="75"/>
      <c r="AJ898" s="75"/>
      <c r="AK898" s="75"/>
      <c r="AL898" s="75"/>
      <c r="AM898" s="75"/>
      <c r="AN898" s="75"/>
      <c r="AO898" s="76">
        <f t="shared" si="52"/>
        <v>0</v>
      </c>
      <c r="AP898" s="562"/>
    </row>
    <row r="899" spans="2:42" s="83" customFormat="1">
      <c r="B899" s="79" t="s">
        <v>75</v>
      </c>
      <c r="C899" s="82"/>
      <c r="D899" s="81"/>
      <c r="E899" s="81"/>
      <c r="F899" s="81"/>
      <c r="G899" s="81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75"/>
      <c r="AD899" s="75"/>
      <c r="AE899" s="75"/>
      <c r="AF899" s="75"/>
      <c r="AG899" s="166"/>
      <c r="AH899" s="166"/>
      <c r="AI899" s="75"/>
      <c r="AJ899" s="75"/>
      <c r="AK899" s="75"/>
      <c r="AL899" s="75"/>
      <c r="AM899" s="75"/>
      <c r="AN899" s="75"/>
      <c r="AO899" s="76">
        <f t="shared" si="52"/>
        <v>0</v>
      </c>
      <c r="AP899" s="562"/>
    </row>
    <row r="900" spans="2:42" s="83" customFormat="1">
      <c r="B900" s="79" t="s">
        <v>75</v>
      </c>
      <c r="C900" s="82"/>
      <c r="D900" s="81"/>
      <c r="E900" s="81"/>
      <c r="F900" s="81"/>
      <c r="G900" s="81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75"/>
      <c r="AD900" s="75"/>
      <c r="AE900" s="75"/>
      <c r="AF900" s="75"/>
      <c r="AG900" s="166"/>
      <c r="AH900" s="166"/>
      <c r="AI900" s="75"/>
      <c r="AJ900" s="75"/>
      <c r="AK900" s="75"/>
      <c r="AL900" s="75"/>
      <c r="AM900" s="75"/>
      <c r="AN900" s="75"/>
      <c r="AO900" s="76">
        <f t="shared" si="52"/>
        <v>0</v>
      </c>
      <c r="AP900" s="562"/>
    </row>
    <row r="901" spans="2:42" s="83" customFormat="1">
      <c r="B901" s="79" t="s">
        <v>75</v>
      </c>
      <c r="C901" s="82"/>
      <c r="D901" s="81"/>
      <c r="E901" s="81"/>
      <c r="F901" s="81"/>
      <c r="G901" s="81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75"/>
      <c r="AD901" s="75"/>
      <c r="AE901" s="75"/>
      <c r="AF901" s="75"/>
      <c r="AG901" s="166"/>
      <c r="AH901" s="166"/>
      <c r="AI901" s="75"/>
      <c r="AJ901" s="75"/>
      <c r="AK901" s="75"/>
      <c r="AL901" s="75"/>
      <c r="AM901" s="75"/>
      <c r="AN901" s="75"/>
      <c r="AO901" s="76">
        <f t="shared" ref="AO901:AO914" si="53">SUM(I901:AN901)</f>
        <v>0</v>
      </c>
      <c r="AP901" s="562"/>
    </row>
    <row r="902" spans="2:42" s="83" customFormat="1">
      <c r="B902" s="79" t="s">
        <v>75</v>
      </c>
      <c r="C902" s="82"/>
      <c r="D902" s="81"/>
      <c r="E902" s="81"/>
      <c r="F902" s="81"/>
      <c r="G902" s="81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75"/>
      <c r="AD902" s="75"/>
      <c r="AE902" s="75"/>
      <c r="AF902" s="75"/>
      <c r="AG902" s="166"/>
      <c r="AH902" s="166"/>
      <c r="AI902" s="75"/>
      <c r="AJ902" s="75"/>
      <c r="AK902" s="75"/>
      <c r="AL902" s="75"/>
      <c r="AM902" s="75"/>
      <c r="AN902" s="75"/>
      <c r="AO902" s="76">
        <f t="shared" si="53"/>
        <v>0</v>
      </c>
      <c r="AP902" s="562"/>
    </row>
    <row r="903" spans="2:42" s="83" customFormat="1">
      <c r="B903" s="79" t="s">
        <v>75</v>
      </c>
      <c r="C903" s="82"/>
      <c r="D903" s="81"/>
      <c r="E903" s="81"/>
      <c r="F903" s="81"/>
      <c r="G903" s="81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75"/>
      <c r="AD903" s="75"/>
      <c r="AE903" s="75"/>
      <c r="AF903" s="75"/>
      <c r="AG903" s="166"/>
      <c r="AH903" s="166"/>
      <c r="AI903" s="75"/>
      <c r="AJ903" s="75"/>
      <c r="AK903" s="75"/>
      <c r="AL903" s="75"/>
      <c r="AM903" s="75"/>
      <c r="AN903" s="75"/>
      <c r="AO903" s="76">
        <f t="shared" si="53"/>
        <v>0</v>
      </c>
      <c r="AP903" s="562"/>
    </row>
    <row r="904" spans="2:42" s="83" customFormat="1">
      <c r="B904" s="79" t="s">
        <v>75</v>
      </c>
      <c r="C904" s="82"/>
      <c r="D904" s="81"/>
      <c r="E904" s="81"/>
      <c r="F904" s="81"/>
      <c r="G904" s="81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75"/>
      <c r="AD904" s="75"/>
      <c r="AE904" s="75"/>
      <c r="AF904" s="75"/>
      <c r="AG904" s="166"/>
      <c r="AH904" s="166"/>
      <c r="AI904" s="75"/>
      <c r="AJ904" s="75"/>
      <c r="AK904" s="75"/>
      <c r="AL904" s="75"/>
      <c r="AM904" s="75"/>
      <c r="AN904" s="75"/>
      <c r="AO904" s="76">
        <f t="shared" si="53"/>
        <v>0</v>
      </c>
      <c r="AP904" s="562"/>
    </row>
    <row r="905" spans="2:42" s="83" customFormat="1">
      <c r="B905" s="79" t="s">
        <v>75</v>
      </c>
      <c r="C905" s="82"/>
      <c r="D905" s="81"/>
      <c r="E905" s="81"/>
      <c r="F905" s="81"/>
      <c r="G905" s="81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75"/>
      <c r="AD905" s="75"/>
      <c r="AE905" s="75"/>
      <c r="AF905" s="75"/>
      <c r="AG905" s="166"/>
      <c r="AH905" s="166"/>
      <c r="AI905" s="75"/>
      <c r="AJ905" s="75"/>
      <c r="AK905" s="75"/>
      <c r="AL905" s="75"/>
      <c r="AM905" s="75"/>
      <c r="AN905" s="75"/>
      <c r="AO905" s="76">
        <f t="shared" si="53"/>
        <v>0</v>
      </c>
      <c r="AP905" s="562"/>
    </row>
    <row r="906" spans="2:42" s="83" customFormat="1">
      <c r="B906" s="79" t="s">
        <v>75</v>
      </c>
      <c r="C906" s="82"/>
      <c r="D906" s="81"/>
      <c r="E906" s="81"/>
      <c r="F906" s="81"/>
      <c r="G906" s="81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75"/>
      <c r="AD906" s="75"/>
      <c r="AE906" s="75"/>
      <c r="AF906" s="75"/>
      <c r="AG906" s="166"/>
      <c r="AH906" s="166"/>
      <c r="AI906" s="75"/>
      <c r="AJ906" s="75"/>
      <c r="AK906" s="75"/>
      <c r="AL906" s="75"/>
      <c r="AM906" s="75"/>
      <c r="AN906" s="75"/>
      <c r="AO906" s="76">
        <f t="shared" si="53"/>
        <v>0</v>
      </c>
      <c r="AP906" s="562"/>
    </row>
    <row r="907" spans="2:42" s="83" customFormat="1">
      <c r="B907" s="79" t="s">
        <v>75</v>
      </c>
      <c r="C907" s="82"/>
      <c r="D907" s="81"/>
      <c r="E907" s="81"/>
      <c r="F907" s="81"/>
      <c r="G907" s="81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75"/>
      <c r="AD907" s="75"/>
      <c r="AE907" s="75"/>
      <c r="AF907" s="75"/>
      <c r="AG907" s="166"/>
      <c r="AH907" s="166"/>
      <c r="AI907" s="75"/>
      <c r="AJ907" s="75"/>
      <c r="AK907" s="75"/>
      <c r="AL907" s="75"/>
      <c r="AM907" s="75"/>
      <c r="AN907" s="75"/>
      <c r="AO907" s="76">
        <f t="shared" si="53"/>
        <v>0</v>
      </c>
      <c r="AP907" s="562"/>
    </row>
    <row r="908" spans="2:42" s="83" customFormat="1">
      <c r="B908" s="79" t="s">
        <v>75</v>
      </c>
      <c r="C908" s="82"/>
      <c r="D908" s="81"/>
      <c r="E908" s="81"/>
      <c r="F908" s="81"/>
      <c r="G908" s="81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75"/>
      <c r="AD908" s="75"/>
      <c r="AE908" s="75"/>
      <c r="AF908" s="75"/>
      <c r="AG908" s="166"/>
      <c r="AH908" s="166"/>
      <c r="AI908" s="75"/>
      <c r="AJ908" s="75"/>
      <c r="AK908" s="75"/>
      <c r="AL908" s="75"/>
      <c r="AM908" s="75"/>
      <c r="AN908" s="75"/>
      <c r="AO908" s="76">
        <f t="shared" si="53"/>
        <v>0</v>
      </c>
      <c r="AP908" s="562"/>
    </row>
    <row r="909" spans="2:42" s="83" customFormat="1">
      <c r="B909" s="79" t="s">
        <v>75</v>
      </c>
      <c r="C909" s="82"/>
      <c r="D909" s="81"/>
      <c r="E909" s="81"/>
      <c r="F909" s="81"/>
      <c r="G909" s="81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75"/>
      <c r="AD909" s="75"/>
      <c r="AE909" s="75"/>
      <c r="AF909" s="75"/>
      <c r="AG909" s="166"/>
      <c r="AH909" s="166"/>
      <c r="AI909" s="75"/>
      <c r="AJ909" s="75"/>
      <c r="AK909" s="75"/>
      <c r="AL909" s="75"/>
      <c r="AM909" s="75"/>
      <c r="AN909" s="75"/>
      <c r="AO909" s="76">
        <f t="shared" si="53"/>
        <v>0</v>
      </c>
      <c r="AP909" s="562"/>
    </row>
    <row r="910" spans="2:42" s="83" customFormat="1">
      <c r="B910" s="79" t="s">
        <v>75</v>
      </c>
      <c r="C910" s="82"/>
      <c r="D910" s="81"/>
      <c r="E910" s="81"/>
      <c r="F910" s="81"/>
      <c r="G910" s="81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75"/>
      <c r="AD910" s="75"/>
      <c r="AE910" s="75"/>
      <c r="AF910" s="75"/>
      <c r="AG910" s="166"/>
      <c r="AH910" s="166"/>
      <c r="AI910" s="75"/>
      <c r="AJ910" s="75"/>
      <c r="AK910" s="75"/>
      <c r="AL910" s="75"/>
      <c r="AM910" s="75"/>
      <c r="AN910" s="75"/>
      <c r="AO910" s="76">
        <f t="shared" si="53"/>
        <v>0</v>
      </c>
      <c r="AP910" s="562"/>
    </row>
    <row r="911" spans="2:42" s="83" customFormat="1">
      <c r="B911" s="79" t="s">
        <v>75</v>
      </c>
      <c r="C911" s="82"/>
      <c r="D911" s="81"/>
      <c r="E911" s="81"/>
      <c r="F911" s="81"/>
      <c r="G911" s="81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75"/>
      <c r="AD911" s="75"/>
      <c r="AE911" s="75"/>
      <c r="AF911" s="75"/>
      <c r="AG911" s="166"/>
      <c r="AH911" s="166"/>
      <c r="AI911" s="75"/>
      <c r="AJ911" s="75"/>
      <c r="AK911" s="75"/>
      <c r="AL911" s="75"/>
      <c r="AM911" s="75"/>
      <c r="AN911" s="75"/>
      <c r="AO911" s="76">
        <f t="shared" si="53"/>
        <v>0</v>
      </c>
      <c r="AP911" s="562"/>
    </row>
    <row r="912" spans="2:42" s="83" customFormat="1">
      <c r="B912" s="79" t="s">
        <v>75</v>
      </c>
      <c r="C912" s="82"/>
      <c r="D912" s="81"/>
      <c r="E912" s="81"/>
      <c r="F912" s="81"/>
      <c r="G912" s="81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75"/>
      <c r="AD912" s="75"/>
      <c r="AE912" s="75"/>
      <c r="AF912" s="75"/>
      <c r="AG912" s="166"/>
      <c r="AH912" s="166"/>
      <c r="AI912" s="75"/>
      <c r="AJ912" s="75"/>
      <c r="AK912" s="75"/>
      <c r="AL912" s="75"/>
      <c r="AM912" s="75"/>
      <c r="AN912" s="75"/>
      <c r="AO912" s="76">
        <f t="shared" si="53"/>
        <v>0</v>
      </c>
      <c r="AP912" s="562"/>
    </row>
    <row r="913" spans="2:44" s="83" customFormat="1">
      <c r="B913" s="79" t="s">
        <v>75</v>
      </c>
      <c r="C913" s="82"/>
      <c r="D913" s="81"/>
      <c r="E913" s="81"/>
      <c r="F913" s="81"/>
      <c r="G913" s="81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75"/>
      <c r="AD913" s="75"/>
      <c r="AE913" s="75"/>
      <c r="AF913" s="75"/>
      <c r="AG913" s="166"/>
      <c r="AH913" s="166"/>
      <c r="AI913" s="75"/>
      <c r="AJ913" s="75"/>
      <c r="AK913" s="75"/>
      <c r="AL913" s="75"/>
      <c r="AM913" s="75"/>
      <c r="AN913" s="75"/>
      <c r="AO913" s="76">
        <f t="shared" si="53"/>
        <v>0</v>
      </c>
      <c r="AP913" s="562"/>
    </row>
    <row r="914" spans="2:44" s="83" customFormat="1" ht="16.5" thickBot="1">
      <c r="B914" s="79" t="s">
        <v>75</v>
      </c>
      <c r="C914" s="82"/>
      <c r="D914" s="81"/>
      <c r="E914" s="81"/>
      <c r="F914" s="81"/>
      <c r="G914" s="81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75"/>
      <c r="AD914" s="75"/>
      <c r="AE914" s="75"/>
      <c r="AF914" s="75"/>
      <c r="AG914" s="166"/>
      <c r="AH914" s="166"/>
      <c r="AI914" s="75"/>
      <c r="AJ914" s="75"/>
      <c r="AK914" s="75"/>
      <c r="AL914" s="75"/>
      <c r="AM914" s="75"/>
      <c r="AN914" s="75"/>
      <c r="AO914" s="76">
        <f t="shared" si="53"/>
        <v>0</v>
      </c>
      <c r="AP914" s="590"/>
    </row>
    <row r="915" spans="2:44" s="83" customFormat="1" thickTop="1" thickBot="1">
      <c r="B915" s="92" t="s">
        <v>69</v>
      </c>
      <c r="C915" s="578" t="s">
        <v>70</v>
      </c>
      <c r="D915" s="578"/>
      <c r="E915" s="578"/>
      <c r="F915" s="578"/>
      <c r="G915" s="578"/>
      <c r="H915" s="578"/>
      <c r="I915" s="93">
        <f>SUM(I646:I914)</f>
        <v>0</v>
      </c>
      <c r="J915" s="93">
        <f t="shared" ref="J915:AN915" si="54">SUM(J646:J914)</f>
        <v>0</v>
      </c>
      <c r="K915" s="93">
        <f>SUM(K646:K914)</f>
        <v>0</v>
      </c>
      <c r="L915" s="93">
        <f t="shared" si="54"/>
        <v>0</v>
      </c>
      <c r="M915" s="93">
        <f t="shared" si="54"/>
        <v>0</v>
      </c>
      <c r="N915" s="93">
        <f t="shared" si="54"/>
        <v>0</v>
      </c>
      <c r="O915" s="93">
        <f t="shared" si="54"/>
        <v>0</v>
      </c>
      <c r="P915" s="93">
        <f>SUM(P646:P914)</f>
        <v>0</v>
      </c>
      <c r="Q915" s="93">
        <f t="shared" si="54"/>
        <v>0</v>
      </c>
      <c r="R915" s="93">
        <f t="shared" si="54"/>
        <v>0</v>
      </c>
      <c r="S915" s="93">
        <f t="shared" si="54"/>
        <v>0</v>
      </c>
      <c r="T915" s="93">
        <f t="shared" si="54"/>
        <v>0</v>
      </c>
      <c r="U915" s="93">
        <f t="shared" si="54"/>
        <v>0</v>
      </c>
      <c r="V915" s="93">
        <f t="shared" si="54"/>
        <v>0</v>
      </c>
      <c r="W915" s="93">
        <f t="shared" si="54"/>
        <v>0</v>
      </c>
      <c r="X915" s="93">
        <f t="shared" si="54"/>
        <v>0</v>
      </c>
      <c r="Y915" s="93">
        <f t="shared" si="54"/>
        <v>0</v>
      </c>
      <c r="Z915" s="93">
        <f t="shared" si="54"/>
        <v>0</v>
      </c>
      <c r="AA915" s="93">
        <f t="shared" si="54"/>
        <v>0</v>
      </c>
      <c r="AB915" s="93">
        <f>SUM(AB646:AB914)</f>
        <v>0</v>
      </c>
      <c r="AC915" s="93">
        <f t="shared" si="54"/>
        <v>0</v>
      </c>
      <c r="AD915" s="93">
        <f t="shared" si="54"/>
        <v>0</v>
      </c>
      <c r="AE915" s="93">
        <f t="shared" si="54"/>
        <v>0</v>
      </c>
      <c r="AF915" s="93">
        <f t="shared" si="54"/>
        <v>0</v>
      </c>
      <c r="AG915" s="93">
        <f t="shared" si="54"/>
        <v>0</v>
      </c>
      <c r="AH915" s="93">
        <f t="shared" si="54"/>
        <v>0</v>
      </c>
      <c r="AI915" s="93">
        <f t="shared" si="54"/>
        <v>0</v>
      </c>
      <c r="AJ915" s="93">
        <f t="shared" si="54"/>
        <v>0</v>
      </c>
      <c r="AK915" s="93">
        <f t="shared" si="54"/>
        <v>0</v>
      </c>
      <c r="AL915" s="93">
        <f t="shared" si="54"/>
        <v>0</v>
      </c>
      <c r="AM915" s="93">
        <f t="shared" si="54"/>
        <v>0</v>
      </c>
      <c r="AN915" s="93">
        <f t="shared" si="54"/>
        <v>0</v>
      </c>
      <c r="AO915" s="93">
        <f>SUM(AO646:AO914)</f>
        <v>0</v>
      </c>
      <c r="AP915" s="389">
        <f>SUM(AP646:AP914)</f>
        <v>1</v>
      </c>
    </row>
    <row r="916" spans="2:44" s="83" customFormat="1" thickTop="1" thickBot="1">
      <c r="B916" s="98" t="s">
        <v>69</v>
      </c>
      <c r="C916" s="573" t="s">
        <v>70</v>
      </c>
      <c r="D916" s="573"/>
      <c r="E916" s="573"/>
      <c r="F916" s="573"/>
      <c r="G916" s="573"/>
      <c r="H916" s="573"/>
      <c r="I916" s="93">
        <f>I915</f>
        <v>0</v>
      </c>
      <c r="J916" s="569">
        <f>+J915+K915</f>
        <v>0</v>
      </c>
      <c r="K916" s="570"/>
      <c r="L916" s="99">
        <f>L915</f>
        <v>0</v>
      </c>
      <c r="M916" s="99">
        <f>M915</f>
        <v>0</v>
      </c>
      <c r="N916" s="99">
        <f>N915</f>
        <v>0</v>
      </c>
      <c r="O916" s="99">
        <f>O915</f>
        <v>0</v>
      </c>
      <c r="P916" s="99">
        <f>P915</f>
        <v>0</v>
      </c>
      <c r="Q916" s="572">
        <f>+Q915+R915+S915+T915+U915+V915+W915+X915+Y915</f>
        <v>0</v>
      </c>
      <c r="R916" s="572"/>
      <c r="S916" s="572"/>
      <c r="T916" s="572"/>
      <c r="U916" s="572"/>
      <c r="V916" s="572"/>
      <c r="W916" s="572"/>
      <c r="X916" s="572"/>
      <c r="Y916" s="572"/>
      <c r="Z916" s="572">
        <f>+Z915+AA915+AB915</f>
        <v>0</v>
      </c>
      <c r="AA916" s="572"/>
      <c r="AB916" s="572"/>
      <c r="AC916" s="99">
        <f>AC915</f>
        <v>0</v>
      </c>
      <c r="AD916" s="99">
        <f>AD915</f>
        <v>0</v>
      </c>
      <c r="AE916" s="99">
        <f>AE915</f>
        <v>0</v>
      </c>
      <c r="AF916" s="572">
        <f>+AF915+AG915+AH915</f>
        <v>0</v>
      </c>
      <c r="AG916" s="572"/>
      <c r="AH916" s="572"/>
      <c r="AI916" s="99">
        <f t="shared" ref="AI916:AP916" si="55">AI915</f>
        <v>0</v>
      </c>
      <c r="AJ916" s="99">
        <f t="shared" si="55"/>
        <v>0</v>
      </c>
      <c r="AK916" s="99">
        <f t="shared" si="55"/>
        <v>0</v>
      </c>
      <c r="AL916" s="99">
        <f t="shared" si="55"/>
        <v>0</v>
      </c>
      <c r="AM916" s="99">
        <f t="shared" si="55"/>
        <v>0</v>
      </c>
      <c r="AN916" s="99">
        <f t="shared" si="55"/>
        <v>0</v>
      </c>
      <c r="AO916" s="99">
        <f t="shared" si="55"/>
        <v>0</v>
      </c>
      <c r="AP916" s="99">
        <f t="shared" si="55"/>
        <v>1</v>
      </c>
    </row>
    <row r="917" spans="2:44" s="83" customFormat="1" ht="16.5" thickTop="1">
      <c r="B917" s="79" t="s">
        <v>76</v>
      </c>
      <c r="C917" s="509"/>
      <c r="D917" s="500"/>
      <c r="E917" s="410"/>
      <c r="F917" s="500"/>
      <c r="G917" s="500"/>
      <c r="H917" s="410"/>
      <c r="I917" s="410"/>
      <c r="J917" s="410"/>
      <c r="K917" s="410"/>
      <c r="L917" s="410"/>
      <c r="M917" s="410"/>
      <c r="N917" s="410"/>
      <c r="O917" s="410"/>
      <c r="P917" s="410"/>
      <c r="Q917" s="410"/>
      <c r="R917" s="410"/>
      <c r="S917" s="410"/>
      <c r="T917" s="410"/>
      <c r="U917" s="410"/>
      <c r="V917" s="410"/>
      <c r="W917" s="410"/>
      <c r="X917" s="410"/>
      <c r="Y917" s="410"/>
      <c r="Z917" s="410"/>
      <c r="AA917" s="410"/>
      <c r="AB917" s="410"/>
      <c r="AC917" s="504"/>
      <c r="AD917" s="504"/>
      <c r="AE917" s="504"/>
      <c r="AF917" s="504"/>
      <c r="AG917" s="505"/>
      <c r="AH917" s="505"/>
      <c r="AI917" s="504"/>
      <c r="AJ917" s="504"/>
      <c r="AK917" s="505"/>
      <c r="AL917" s="504"/>
      <c r="AM917" s="504"/>
      <c r="AN917" s="504"/>
      <c r="AO917" s="76">
        <f t="shared" ref="AO917:AO947" si="56">SUM(I917:AN917)</f>
        <v>0</v>
      </c>
      <c r="AP917" s="574">
        <f>SUM(AO917:AO926)</f>
        <v>0</v>
      </c>
      <c r="AR917" s="409"/>
    </row>
    <row r="918" spans="2:44" s="83" customFormat="1">
      <c r="B918" s="79" t="s">
        <v>76</v>
      </c>
      <c r="C918" s="509"/>
      <c r="D918" s="500"/>
      <c r="E918" s="410"/>
      <c r="F918" s="500"/>
      <c r="G918" s="500"/>
      <c r="H918" s="410"/>
      <c r="I918" s="410"/>
      <c r="J918" s="410"/>
      <c r="K918" s="410"/>
      <c r="L918" s="410"/>
      <c r="M918" s="410"/>
      <c r="N918" s="410"/>
      <c r="O918" s="410"/>
      <c r="P918" s="410"/>
      <c r="Q918" s="410"/>
      <c r="R918" s="410"/>
      <c r="S918" s="410"/>
      <c r="T918" s="410"/>
      <c r="U918" s="410"/>
      <c r="V918" s="410"/>
      <c r="W918" s="410"/>
      <c r="X918" s="410"/>
      <c r="Y918" s="410"/>
      <c r="Z918" s="410"/>
      <c r="AA918" s="410"/>
      <c r="AB918" s="410"/>
      <c r="AC918" s="504"/>
      <c r="AD918" s="504"/>
      <c r="AE918" s="504"/>
      <c r="AF918" s="504"/>
      <c r="AG918" s="505"/>
      <c r="AH918" s="505"/>
      <c r="AI918" s="504"/>
      <c r="AJ918" s="504"/>
      <c r="AK918" s="505"/>
      <c r="AL918" s="504"/>
      <c r="AM918" s="504"/>
      <c r="AN918" s="504"/>
      <c r="AO918" s="76">
        <f t="shared" si="56"/>
        <v>0</v>
      </c>
      <c r="AP918" s="562"/>
      <c r="AR918" s="409"/>
    </row>
    <row r="919" spans="2:44" s="83" customFormat="1">
      <c r="B919" s="79" t="s">
        <v>76</v>
      </c>
      <c r="C919" s="509"/>
      <c r="D919" s="500"/>
      <c r="E919" s="410"/>
      <c r="F919" s="500"/>
      <c r="G919" s="500"/>
      <c r="H919" s="410"/>
      <c r="I919" s="410"/>
      <c r="J919" s="410"/>
      <c r="K919" s="410"/>
      <c r="L919" s="410"/>
      <c r="M919" s="410"/>
      <c r="N919" s="410"/>
      <c r="O919" s="410"/>
      <c r="P919" s="410"/>
      <c r="Q919" s="410"/>
      <c r="R919" s="410"/>
      <c r="S919" s="410"/>
      <c r="T919" s="410"/>
      <c r="U919" s="410"/>
      <c r="V919" s="410"/>
      <c r="W919" s="410"/>
      <c r="X919" s="410"/>
      <c r="Y919" s="410"/>
      <c r="Z919" s="410"/>
      <c r="AA919" s="410"/>
      <c r="AB919" s="410"/>
      <c r="AC919" s="504"/>
      <c r="AD919" s="504"/>
      <c r="AE919" s="504"/>
      <c r="AF919" s="504"/>
      <c r="AG919" s="505"/>
      <c r="AH919" s="505"/>
      <c r="AI919" s="504"/>
      <c r="AJ919" s="504"/>
      <c r="AK919" s="505"/>
      <c r="AL919" s="504"/>
      <c r="AM919" s="504"/>
      <c r="AN919" s="504"/>
      <c r="AO919" s="76">
        <f t="shared" si="56"/>
        <v>0</v>
      </c>
      <c r="AP919" s="562"/>
      <c r="AR919" s="409"/>
    </row>
    <row r="920" spans="2:44" s="83" customFormat="1">
      <c r="B920" s="79" t="s">
        <v>76</v>
      </c>
      <c r="C920" s="509"/>
      <c r="D920" s="500"/>
      <c r="E920" s="410"/>
      <c r="F920" s="500"/>
      <c r="G920" s="500"/>
      <c r="H920" s="410"/>
      <c r="I920" s="410"/>
      <c r="J920" s="410"/>
      <c r="K920" s="410"/>
      <c r="L920" s="410"/>
      <c r="M920" s="410"/>
      <c r="N920" s="410"/>
      <c r="O920" s="410"/>
      <c r="P920" s="410"/>
      <c r="Q920" s="410"/>
      <c r="R920" s="410"/>
      <c r="S920" s="410"/>
      <c r="T920" s="410"/>
      <c r="U920" s="410"/>
      <c r="V920" s="410"/>
      <c r="W920" s="410"/>
      <c r="X920" s="410"/>
      <c r="Y920" s="410"/>
      <c r="Z920" s="410"/>
      <c r="AA920" s="410"/>
      <c r="AB920" s="410"/>
      <c r="AC920" s="504"/>
      <c r="AD920" s="504"/>
      <c r="AE920" s="504"/>
      <c r="AF920" s="504"/>
      <c r="AG920" s="505"/>
      <c r="AH920" s="505"/>
      <c r="AI920" s="504"/>
      <c r="AJ920" s="504"/>
      <c r="AK920" s="505"/>
      <c r="AL920" s="504"/>
      <c r="AM920" s="504"/>
      <c r="AN920" s="504"/>
      <c r="AO920" s="76">
        <f t="shared" si="56"/>
        <v>0</v>
      </c>
      <c r="AP920" s="562"/>
      <c r="AR920" s="409"/>
    </row>
    <row r="921" spans="2:44" s="83" customFormat="1">
      <c r="B921" s="79" t="s">
        <v>76</v>
      </c>
      <c r="C921" s="509"/>
      <c r="D921" s="500"/>
      <c r="E921" s="410"/>
      <c r="F921" s="500"/>
      <c r="G921" s="500"/>
      <c r="H921" s="410"/>
      <c r="I921" s="410"/>
      <c r="J921" s="410"/>
      <c r="K921" s="410"/>
      <c r="L921" s="410"/>
      <c r="M921" s="410"/>
      <c r="N921" s="410"/>
      <c r="O921" s="410"/>
      <c r="P921" s="410"/>
      <c r="Q921" s="410"/>
      <c r="R921" s="410"/>
      <c r="S921" s="410"/>
      <c r="T921" s="410"/>
      <c r="U921" s="410"/>
      <c r="V921" s="410"/>
      <c r="W921" s="410"/>
      <c r="X921" s="410"/>
      <c r="Y921" s="410"/>
      <c r="Z921" s="410"/>
      <c r="AA921" s="410"/>
      <c r="AB921" s="410"/>
      <c r="AC921" s="504"/>
      <c r="AD921" s="504"/>
      <c r="AE921" s="504"/>
      <c r="AF921" s="504"/>
      <c r="AG921" s="505"/>
      <c r="AH921" s="505"/>
      <c r="AI921" s="504"/>
      <c r="AJ921" s="504"/>
      <c r="AK921" s="505"/>
      <c r="AL921" s="504"/>
      <c r="AM921" s="504"/>
      <c r="AN921" s="504"/>
      <c r="AO921" s="76">
        <f t="shared" si="56"/>
        <v>0</v>
      </c>
      <c r="AP921" s="562"/>
      <c r="AR921" s="409"/>
    </row>
    <row r="922" spans="2:44" s="83" customFormat="1" ht="16.5" thickBot="1">
      <c r="B922" s="79" t="s">
        <v>76</v>
      </c>
      <c r="C922" s="509"/>
      <c r="D922" s="500"/>
      <c r="E922" s="410"/>
      <c r="F922" s="500"/>
      <c r="G922" s="500"/>
      <c r="H922" s="410"/>
      <c r="I922" s="410"/>
      <c r="J922" s="410"/>
      <c r="K922" s="410"/>
      <c r="L922" s="410"/>
      <c r="M922" s="410"/>
      <c r="N922" s="410"/>
      <c r="O922" s="410"/>
      <c r="P922" s="410"/>
      <c r="Q922" s="410"/>
      <c r="R922" s="410"/>
      <c r="S922" s="410"/>
      <c r="T922" s="410"/>
      <c r="U922" s="410"/>
      <c r="V922" s="410"/>
      <c r="W922" s="410"/>
      <c r="X922" s="410"/>
      <c r="Y922" s="410"/>
      <c r="Z922" s="410"/>
      <c r="AA922" s="410"/>
      <c r="AB922" s="410"/>
      <c r="AC922" s="504"/>
      <c r="AD922" s="504"/>
      <c r="AE922" s="504"/>
      <c r="AF922" s="504"/>
      <c r="AG922" s="505"/>
      <c r="AH922" s="505"/>
      <c r="AI922" s="504"/>
      <c r="AJ922" s="504"/>
      <c r="AK922" s="505"/>
      <c r="AL922" s="504"/>
      <c r="AM922" s="504"/>
      <c r="AN922" s="504"/>
      <c r="AO922" s="76">
        <f t="shared" si="56"/>
        <v>0</v>
      </c>
      <c r="AP922" s="563"/>
      <c r="AR922" s="409"/>
    </row>
    <row r="923" spans="2:44" s="83" customFormat="1">
      <c r="B923" s="79" t="s">
        <v>76</v>
      </c>
      <c r="C923" s="509"/>
      <c r="D923" s="500"/>
      <c r="E923" s="410"/>
      <c r="F923" s="500"/>
      <c r="G923" s="500"/>
      <c r="H923" s="410"/>
      <c r="I923" s="410"/>
      <c r="J923" s="410"/>
      <c r="K923" s="410"/>
      <c r="L923" s="410"/>
      <c r="M923" s="410"/>
      <c r="N923" s="410"/>
      <c r="O923" s="410"/>
      <c r="P923" s="410"/>
      <c r="Q923" s="410"/>
      <c r="R923" s="410"/>
      <c r="S923" s="410"/>
      <c r="T923" s="410"/>
      <c r="U923" s="410"/>
      <c r="V923" s="410"/>
      <c r="W923" s="410"/>
      <c r="X923" s="410"/>
      <c r="Y923" s="410"/>
      <c r="Z923" s="410"/>
      <c r="AA923" s="410"/>
      <c r="AB923" s="410"/>
      <c r="AC923" s="504"/>
      <c r="AD923" s="504"/>
      <c r="AE923" s="504"/>
      <c r="AF923" s="504"/>
      <c r="AG923" s="505"/>
      <c r="AH923" s="505"/>
      <c r="AI923" s="504"/>
      <c r="AJ923" s="504"/>
      <c r="AK923" s="505"/>
      <c r="AL923" s="504"/>
      <c r="AM923" s="504"/>
      <c r="AN923" s="504"/>
      <c r="AO923" s="76">
        <f t="shared" si="56"/>
        <v>0</v>
      </c>
      <c r="AP923" s="561">
        <f>SUM(AO923:AO928)</f>
        <v>0</v>
      </c>
      <c r="AR923" s="409"/>
    </row>
    <row r="924" spans="2:44" s="83" customFormat="1">
      <c r="B924" s="79" t="s">
        <v>76</v>
      </c>
      <c r="C924" s="509"/>
      <c r="D924" s="500"/>
      <c r="E924" s="410"/>
      <c r="F924" s="500"/>
      <c r="G924" s="500"/>
      <c r="H924" s="410"/>
      <c r="I924" s="410"/>
      <c r="J924" s="410"/>
      <c r="K924" s="410"/>
      <c r="L924" s="410"/>
      <c r="M924" s="410"/>
      <c r="N924" s="410"/>
      <c r="O924" s="410"/>
      <c r="P924" s="410"/>
      <c r="Q924" s="410"/>
      <c r="R924" s="410"/>
      <c r="S924" s="410"/>
      <c r="T924" s="410"/>
      <c r="U924" s="410"/>
      <c r="V924" s="410"/>
      <c r="W924" s="410"/>
      <c r="X924" s="410"/>
      <c r="Y924" s="410"/>
      <c r="Z924" s="410"/>
      <c r="AA924" s="410"/>
      <c r="AB924" s="410"/>
      <c r="AC924" s="504"/>
      <c r="AD924" s="504"/>
      <c r="AE924" s="504"/>
      <c r="AF924" s="504"/>
      <c r="AG924" s="505"/>
      <c r="AH924" s="505"/>
      <c r="AI924" s="504"/>
      <c r="AJ924" s="504"/>
      <c r="AK924" s="504"/>
      <c r="AL924" s="504"/>
      <c r="AM924" s="504"/>
      <c r="AN924" s="504"/>
      <c r="AO924" s="76">
        <f t="shared" si="56"/>
        <v>0</v>
      </c>
      <c r="AP924" s="562"/>
      <c r="AR924" s="409"/>
    </row>
    <row r="925" spans="2:44" s="83" customFormat="1">
      <c r="B925" s="79" t="s">
        <v>76</v>
      </c>
      <c r="C925" s="509"/>
      <c r="D925" s="500"/>
      <c r="E925" s="410"/>
      <c r="F925" s="500"/>
      <c r="G925" s="500"/>
      <c r="H925" s="410"/>
      <c r="I925" s="410"/>
      <c r="J925" s="410"/>
      <c r="K925" s="410"/>
      <c r="L925" s="410"/>
      <c r="M925" s="410"/>
      <c r="N925" s="410"/>
      <c r="O925" s="410"/>
      <c r="P925" s="410"/>
      <c r="Q925" s="410"/>
      <c r="R925" s="410"/>
      <c r="S925" s="410"/>
      <c r="T925" s="410"/>
      <c r="U925" s="410"/>
      <c r="V925" s="410"/>
      <c r="W925" s="410"/>
      <c r="X925" s="410"/>
      <c r="Y925" s="410"/>
      <c r="Z925" s="410"/>
      <c r="AA925" s="410"/>
      <c r="AB925" s="410"/>
      <c r="AC925" s="504"/>
      <c r="AD925" s="504"/>
      <c r="AE925" s="504"/>
      <c r="AF925" s="504"/>
      <c r="AG925" s="505"/>
      <c r="AH925" s="505"/>
      <c r="AI925" s="504"/>
      <c r="AJ925" s="504"/>
      <c r="AK925" s="504"/>
      <c r="AL925" s="504"/>
      <c r="AM925" s="504"/>
      <c r="AN925" s="504"/>
      <c r="AO925" s="76">
        <f t="shared" si="56"/>
        <v>0</v>
      </c>
      <c r="AP925" s="562"/>
      <c r="AR925" s="409"/>
    </row>
    <row r="926" spans="2:44" s="83" customFormat="1">
      <c r="B926" s="79" t="s">
        <v>76</v>
      </c>
      <c r="C926" s="509"/>
      <c r="D926" s="500"/>
      <c r="E926" s="410"/>
      <c r="F926" s="500"/>
      <c r="G926" s="500"/>
      <c r="H926" s="410"/>
      <c r="I926" s="410"/>
      <c r="J926" s="410"/>
      <c r="K926" s="410"/>
      <c r="L926" s="410"/>
      <c r="M926" s="410"/>
      <c r="N926" s="410"/>
      <c r="O926" s="410"/>
      <c r="P926" s="410"/>
      <c r="Q926" s="410"/>
      <c r="R926" s="410"/>
      <c r="S926" s="410"/>
      <c r="T926" s="410"/>
      <c r="U926" s="410"/>
      <c r="V926" s="410"/>
      <c r="W926" s="410"/>
      <c r="X926" s="410"/>
      <c r="Y926" s="410"/>
      <c r="Z926" s="410"/>
      <c r="AA926" s="410"/>
      <c r="AB926" s="410"/>
      <c r="AC926" s="504"/>
      <c r="AD926" s="504"/>
      <c r="AE926" s="504"/>
      <c r="AF926" s="504"/>
      <c r="AG926" s="505"/>
      <c r="AH926" s="505"/>
      <c r="AI926" s="504"/>
      <c r="AJ926" s="504"/>
      <c r="AK926" s="504"/>
      <c r="AL926" s="504"/>
      <c r="AM926" s="504"/>
      <c r="AN926" s="504"/>
      <c r="AO926" s="76">
        <f t="shared" si="56"/>
        <v>0</v>
      </c>
      <c r="AP926" s="562"/>
      <c r="AR926" s="409"/>
    </row>
    <row r="927" spans="2:44" s="83" customFormat="1">
      <c r="B927" s="79" t="s">
        <v>76</v>
      </c>
      <c r="C927" s="509"/>
      <c r="D927" s="500"/>
      <c r="E927" s="410"/>
      <c r="F927" s="500"/>
      <c r="G927" s="500"/>
      <c r="H927" s="410"/>
      <c r="I927" s="410"/>
      <c r="J927" s="410"/>
      <c r="K927" s="410"/>
      <c r="L927" s="410"/>
      <c r="M927" s="410"/>
      <c r="N927" s="410"/>
      <c r="O927" s="410"/>
      <c r="P927" s="410"/>
      <c r="Q927" s="410"/>
      <c r="R927" s="410"/>
      <c r="S927" s="410"/>
      <c r="T927" s="410"/>
      <c r="U927" s="410"/>
      <c r="V927" s="410"/>
      <c r="W927" s="410"/>
      <c r="X927" s="410"/>
      <c r="Y927" s="410"/>
      <c r="Z927" s="410"/>
      <c r="AA927" s="410"/>
      <c r="AB927" s="410"/>
      <c r="AC927" s="504"/>
      <c r="AD927" s="504"/>
      <c r="AE927" s="504"/>
      <c r="AF927" s="504"/>
      <c r="AG927" s="505"/>
      <c r="AH927" s="505"/>
      <c r="AI927" s="504"/>
      <c r="AJ927" s="504"/>
      <c r="AK927" s="504"/>
      <c r="AL927" s="504"/>
      <c r="AM927" s="504"/>
      <c r="AN927" s="504"/>
      <c r="AO927" s="76">
        <f t="shared" si="56"/>
        <v>0</v>
      </c>
      <c r="AP927" s="562"/>
      <c r="AR927" s="409"/>
    </row>
    <row r="928" spans="2:44" s="83" customFormat="1" ht="16.5" thickBot="1">
      <c r="B928" s="79" t="s">
        <v>76</v>
      </c>
      <c r="C928" s="509"/>
      <c r="D928" s="500"/>
      <c r="E928" s="410"/>
      <c r="F928" s="500"/>
      <c r="G928" s="500"/>
      <c r="H928" s="410"/>
      <c r="I928" s="410"/>
      <c r="J928" s="410"/>
      <c r="K928" s="410"/>
      <c r="L928" s="410"/>
      <c r="M928" s="410"/>
      <c r="N928" s="410"/>
      <c r="O928" s="410"/>
      <c r="P928" s="410"/>
      <c r="Q928" s="410"/>
      <c r="R928" s="410"/>
      <c r="S928" s="410"/>
      <c r="T928" s="410"/>
      <c r="U928" s="410"/>
      <c r="V928" s="410"/>
      <c r="W928" s="410"/>
      <c r="X928" s="410"/>
      <c r="Y928" s="410"/>
      <c r="Z928" s="410"/>
      <c r="AA928" s="410"/>
      <c r="AB928" s="410"/>
      <c r="AC928" s="504"/>
      <c r="AD928" s="504"/>
      <c r="AE928" s="504"/>
      <c r="AF928" s="504"/>
      <c r="AG928" s="505"/>
      <c r="AH928" s="505"/>
      <c r="AI928" s="504"/>
      <c r="AJ928" s="504"/>
      <c r="AK928" s="504"/>
      <c r="AL928" s="504"/>
      <c r="AM928" s="504"/>
      <c r="AN928" s="504"/>
      <c r="AO928" s="76">
        <f t="shared" si="56"/>
        <v>0</v>
      </c>
      <c r="AP928" s="563"/>
      <c r="AR928" s="409"/>
    </row>
    <row r="929" spans="2:44" s="83" customFormat="1">
      <c r="B929" s="79" t="s">
        <v>76</v>
      </c>
      <c r="C929" s="509"/>
      <c r="D929" s="500"/>
      <c r="E929" s="410"/>
      <c r="F929" s="500"/>
      <c r="G929" s="500"/>
      <c r="H929" s="410"/>
      <c r="I929" s="410"/>
      <c r="J929" s="410"/>
      <c r="K929" s="410"/>
      <c r="L929" s="410"/>
      <c r="M929" s="410"/>
      <c r="N929" s="410"/>
      <c r="O929" s="410"/>
      <c r="P929" s="410"/>
      <c r="Q929" s="410"/>
      <c r="R929" s="410"/>
      <c r="S929" s="410"/>
      <c r="T929" s="410"/>
      <c r="U929" s="410"/>
      <c r="V929" s="410"/>
      <c r="W929" s="410"/>
      <c r="X929" s="410"/>
      <c r="Y929" s="410"/>
      <c r="Z929" s="410"/>
      <c r="AA929" s="410"/>
      <c r="AB929" s="410"/>
      <c r="AC929" s="504"/>
      <c r="AD929" s="504"/>
      <c r="AE929" s="504"/>
      <c r="AF929" s="504"/>
      <c r="AG929" s="505"/>
      <c r="AH929" s="505"/>
      <c r="AI929" s="504"/>
      <c r="AJ929" s="504"/>
      <c r="AK929" s="504"/>
      <c r="AL929" s="504"/>
      <c r="AM929" s="504"/>
      <c r="AN929" s="504"/>
      <c r="AO929" s="76">
        <f t="shared" si="56"/>
        <v>0</v>
      </c>
      <c r="AP929" s="561">
        <f>SUM(AO929:AO935)</f>
        <v>0</v>
      </c>
      <c r="AR929" s="409"/>
    </row>
    <row r="930" spans="2:44" s="83" customFormat="1">
      <c r="B930" s="79" t="s">
        <v>76</v>
      </c>
      <c r="C930" s="509"/>
      <c r="D930" s="500"/>
      <c r="E930" s="410"/>
      <c r="F930" s="500"/>
      <c r="G930" s="500"/>
      <c r="H930" s="410"/>
      <c r="I930" s="410"/>
      <c r="J930" s="410"/>
      <c r="K930" s="410"/>
      <c r="L930" s="410"/>
      <c r="M930" s="410"/>
      <c r="N930" s="410"/>
      <c r="O930" s="410"/>
      <c r="P930" s="410"/>
      <c r="Q930" s="410"/>
      <c r="R930" s="410"/>
      <c r="S930" s="410"/>
      <c r="T930" s="410"/>
      <c r="U930" s="410"/>
      <c r="V930" s="410"/>
      <c r="W930" s="410"/>
      <c r="X930" s="410"/>
      <c r="Y930" s="410"/>
      <c r="Z930" s="410"/>
      <c r="AA930" s="410"/>
      <c r="AB930" s="410"/>
      <c r="AC930" s="504"/>
      <c r="AD930" s="504"/>
      <c r="AE930" s="504"/>
      <c r="AF930" s="504"/>
      <c r="AG930" s="505"/>
      <c r="AH930" s="505"/>
      <c r="AI930" s="504"/>
      <c r="AJ930" s="504"/>
      <c r="AK930" s="504"/>
      <c r="AL930" s="504"/>
      <c r="AM930" s="504"/>
      <c r="AN930" s="504"/>
      <c r="AO930" s="76">
        <f t="shared" si="56"/>
        <v>0</v>
      </c>
      <c r="AP930" s="562"/>
      <c r="AR930" s="409"/>
    </row>
    <row r="931" spans="2:44" s="83" customFormat="1">
      <c r="B931" s="79" t="s">
        <v>76</v>
      </c>
      <c r="C931" s="509"/>
      <c r="D931" s="500"/>
      <c r="E931" s="410"/>
      <c r="F931" s="500"/>
      <c r="G931" s="500"/>
      <c r="H931" s="410"/>
      <c r="I931" s="410"/>
      <c r="J931" s="410"/>
      <c r="K931" s="410"/>
      <c r="L931" s="410"/>
      <c r="M931" s="410"/>
      <c r="N931" s="410"/>
      <c r="O931" s="410"/>
      <c r="P931" s="410"/>
      <c r="Q931" s="410"/>
      <c r="R931" s="410"/>
      <c r="S931" s="410"/>
      <c r="T931" s="410"/>
      <c r="U931" s="410"/>
      <c r="V931" s="410"/>
      <c r="W931" s="410"/>
      <c r="X931" s="410"/>
      <c r="Y931" s="410"/>
      <c r="Z931" s="410"/>
      <c r="AA931" s="410"/>
      <c r="AB931" s="410"/>
      <c r="AC931" s="504"/>
      <c r="AD931" s="504"/>
      <c r="AE931" s="504"/>
      <c r="AF931" s="504"/>
      <c r="AG931" s="505"/>
      <c r="AH931" s="505"/>
      <c r="AI931" s="504"/>
      <c r="AJ931" s="504"/>
      <c r="AK931" s="504"/>
      <c r="AL931" s="504"/>
      <c r="AM931" s="504"/>
      <c r="AN931" s="504"/>
      <c r="AO931" s="76">
        <f t="shared" si="56"/>
        <v>0</v>
      </c>
      <c r="AP931" s="562"/>
      <c r="AR931" s="409"/>
    </row>
    <row r="932" spans="2:44" s="83" customFormat="1">
      <c r="B932" s="79" t="s">
        <v>76</v>
      </c>
      <c r="C932" s="509"/>
      <c r="D932" s="500"/>
      <c r="E932" s="410"/>
      <c r="F932" s="500"/>
      <c r="G932" s="500"/>
      <c r="H932" s="410"/>
      <c r="I932" s="410"/>
      <c r="J932" s="410"/>
      <c r="K932" s="410"/>
      <c r="L932" s="410"/>
      <c r="M932" s="410"/>
      <c r="N932" s="410"/>
      <c r="O932" s="410"/>
      <c r="P932" s="410"/>
      <c r="Q932" s="410"/>
      <c r="R932" s="410"/>
      <c r="S932" s="410"/>
      <c r="T932" s="410"/>
      <c r="U932" s="410"/>
      <c r="V932" s="410"/>
      <c r="W932" s="410"/>
      <c r="X932" s="410"/>
      <c r="Y932" s="410"/>
      <c r="Z932" s="410"/>
      <c r="AA932" s="410"/>
      <c r="AB932" s="410"/>
      <c r="AC932" s="504"/>
      <c r="AD932" s="504"/>
      <c r="AE932" s="504"/>
      <c r="AF932" s="504"/>
      <c r="AG932" s="505"/>
      <c r="AH932" s="505"/>
      <c r="AI932" s="504"/>
      <c r="AJ932" s="504"/>
      <c r="AK932" s="504"/>
      <c r="AL932" s="504"/>
      <c r="AM932" s="504"/>
      <c r="AN932" s="504"/>
      <c r="AO932" s="76">
        <f t="shared" si="56"/>
        <v>0</v>
      </c>
      <c r="AP932" s="562"/>
      <c r="AR932" s="409"/>
    </row>
    <row r="933" spans="2:44" s="83" customFormat="1">
      <c r="B933" s="79" t="s">
        <v>76</v>
      </c>
      <c r="C933" s="509"/>
      <c r="D933" s="500"/>
      <c r="E933" s="410"/>
      <c r="F933" s="500"/>
      <c r="G933" s="500"/>
      <c r="H933" s="410"/>
      <c r="I933" s="410"/>
      <c r="J933" s="410"/>
      <c r="K933" s="410"/>
      <c r="L933" s="410"/>
      <c r="M933" s="410"/>
      <c r="N933" s="410"/>
      <c r="O933" s="410"/>
      <c r="P933" s="410"/>
      <c r="Q933" s="410"/>
      <c r="R933" s="410"/>
      <c r="S933" s="410"/>
      <c r="T933" s="410"/>
      <c r="U933" s="410"/>
      <c r="V933" s="410"/>
      <c r="W933" s="410"/>
      <c r="X933" s="410"/>
      <c r="Y933" s="410"/>
      <c r="Z933" s="410"/>
      <c r="AA933" s="410"/>
      <c r="AB933" s="410"/>
      <c r="AC933" s="504"/>
      <c r="AD933" s="504"/>
      <c r="AE933" s="504"/>
      <c r="AF933" s="504"/>
      <c r="AG933" s="505"/>
      <c r="AH933" s="505"/>
      <c r="AI933" s="504"/>
      <c r="AJ933" s="504"/>
      <c r="AK933" s="504"/>
      <c r="AL933" s="504"/>
      <c r="AM933" s="504"/>
      <c r="AN933" s="504"/>
      <c r="AO933" s="76">
        <f t="shared" si="56"/>
        <v>0</v>
      </c>
      <c r="AP933" s="562"/>
      <c r="AR933" s="409"/>
    </row>
    <row r="934" spans="2:44" s="83" customFormat="1">
      <c r="B934" s="79" t="s">
        <v>76</v>
      </c>
      <c r="C934" s="509"/>
      <c r="D934" s="500"/>
      <c r="E934" s="410"/>
      <c r="F934" s="500"/>
      <c r="G934" s="500"/>
      <c r="H934" s="410"/>
      <c r="I934" s="410"/>
      <c r="J934" s="410"/>
      <c r="K934" s="410"/>
      <c r="L934" s="410"/>
      <c r="M934" s="410"/>
      <c r="N934" s="410"/>
      <c r="O934" s="410"/>
      <c r="P934" s="410"/>
      <c r="Q934" s="410"/>
      <c r="R934" s="410"/>
      <c r="S934" s="410"/>
      <c r="T934" s="410"/>
      <c r="U934" s="410"/>
      <c r="V934" s="410"/>
      <c r="W934" s="410"/>
      <c r="X934" s="410"/>
      <c r="Y934" s="410"/>
      <c r="Z934" s="410"/>
      <c r="AA934" s="410"/>
      <c r="AB934" s="410"/>
      <c r="AC934" s="504"/>
      <c r="AD934" s="504"/>
      <c r="AE934" s="504"/>
      <c r="AF934" s="504"/>
      <c r="AG934" s="505"/>
      <c r="AH934" s="505"/>
      <c r="AI934" s="504"/>
      <c r="AJ934" s="504"/>
      <c r="AK934" s="504"/>
      <c r="AL934" s="504"/>
      <c r="AM934" s="504"/>
      <c r="AN934" s="504"/>
      <c r="AO934" s="76">
        <f t="shared" si="56"/>
        <v>0</v>
      </c>
      <c r="AP934" s="562"/>
      <c r="AR934" s="409"/>
    </row>
    <row r="935" spans="2:44" s="83" customFormat="1" ht="16.5" thickBot="1">
      <c r="B935" s="79" t="s">
        <v>76</v>
      </c>
      <c r="C935" s="509"/>
      <c r="D935" s="500"/>
      <c r="E935" s="410"/>
      <c r="F935" s="500"/>
      <c r="G935" s="500"/>
      <c r="H935" s="410"/>
      <c r="I935" s="410"/>
      <c r="J935" s="410"/>
      <c r="K935" s="410"/>
      <c r="L935" s="410"/>
      <c r="M935" s="410"/>
      <c r="N935" s="410"/>
      <c r="O935" s="410"/>
      <c r="P935" s="410"/>
      <c r="Q935" s="410"/>
      <c r="R935" s="410"/>
      <c r="S935" s="410"/>
      <c r="T935" s="410"/>
      <c r="U935" s="410"/>
      <c r="V935" s="410"/>
      <c r="W935" s="410"/>
      <c r="X935" s="410"/>
      <c r="Y935" s="410"/>
      <c r="Z935" s="410"/>
      <c r="AA935" s="410"/>
      <c r="AB935" s="410"/>
      <c r="AC935" s="504"/>
      <c r="AD935" s="504"/>
      <c r="AE935" s="504"/>
      <c r="AF935" s="504"/>
      <c r="AG935" s="505"/>
      <c r="AH935" s="505"/>
      <c r="AI935" s="504"/>
      <c r="AJ935" s="504"/>
      <c r="AK935" s="504"/>
      <c r="AL935" s="504"/>
      <c r="AM935" s="504"/>
      <c r="AN935" s="504"/>
      <c r="AO935" s="76">
        <f t="shared" si="56"/>
        <v>0</v>
      </c>
      <c r="AP935" s="563"/>
      <c r="AR935" s="409"/>
    </row>
    <row r="936" spans="2:44" s="83" customFormat="1">
      <c r="B936" s="79" t="s">
        <v>76</v>
      </c>
      <c r="C936" s="509"/>
      <c r="D936" s="500"/>
      <c r="E936" s="410"/>
      <c r="F936" s="500"/>
      <c r="G936" s="500"/>
      <c r="H936" s="410"/>
      <c r="I936" s="410"/>
      <c r="J936" s="410"/>
      <c r="K936" s="410"/>
      <c r="L936" s="410"/>
      <c r="M936" s="410"/>
      <c r="N936" s="410"/>
      <c r="O936" s="410"/>
      <c r="P936" s="410"/>
      <c r="Q936" s="410"/>
      <c r="R936" s="410"/>
      <c r="S936" s="410"/>
      <c r="T936" s="410"/>
      <c r="U936" s="410"/>
      <c r="V936" s="410"/>
      <c r="W936" s="410"/>
      <c r="X936" s="410"/>
      <c r="Y936" s="410"/>
      <c r="Z936" s="410"/>
      <c r="AA936" s="410"/>
      <c r="AB936" s="410"/>
      <c r="AC936" s="504"/>
      <c r="AD936" s="504"/>
      <c r="AE936" s="504"/>
      <c r="AF936" s="504"/>
      <c r="AG936" s="505"/>
      <c r="AH936" s="505"/>
      <c r="AI936" s="504"/>
      <c r="AJ936" s="504"/>
      <c r="AK936" s="504"/>
      <c r="AL936" s="504"/>
      <c r="AM936" s="504"/>
      <c r="AN936" s="504"/>
      <c r="AO936" s="76">
        <f t="shared" si="56"/>
        <v>0</v>
      </c>
      <c r="AP936" s="561">
        <f>SUM(AO936:AO937)</f>
        <v>0</v>
      </c>
      <c r="AR936" s="409"/>
    </row>
    <row r="937" spans="2:44" s="83" customFormat="1" ht="16.5" thickBot="1">
      <c r="B937" s="79" t="s">
        <v>76</v>
      </c>
      <c r="C937" s="509"/>
      <c r="D937" s="500"/>
      <c r="E937" s="410"/>
      <c r="F937" s="500"/>
      <c r="G937" s="500"/>
      <c r="H937" s="410"/>
      <c r="I937" s="410"/>
      <c r="J937" s="410"/>
      <c r="K937" s="410"/>
      <c r="L937" s="410"/>
      <c r="M937" s="410"/>
      <c r="N937" s="410"/>
      <c r="O937" s="410"/>
      <c r="P937" s="410"/>
      <c r="Q937" s="410"/>
      <c r="R937" s="410"/>
      <c r="S937" s="410"/>
      <c r="T937" s="410"/>
      <c r="U937" s="410"/>
      <c r="V937" s="410"/>
      <c r="W937" s="410"/>
      <c r="X937" s="410"/>
      <c r="Y937" s="410"/>
      <c r="Z937" s="410"/>
      <c r="AA937" s="410"/>
      <c r="AB937" s="410"/>
      <c r="AC937" s="504"/>
      <c r="AD937" s="504"/>
      <c r="AE937" s="504"/>
      <c r="AF937" s="504"/>
      <c r="AG937" s="505"/>
      <c r="AH937" s="505"/>
      <c r="AI937" s="504"/>
      <c r="AJ937" s="504"/>
      <c r="AK937" s="504"/>
      <c r="AL937" s="504"/>
      <c r="AM937" s="504"/>
      <c r="AN937" s="504"/>
      <c r="AO937" s="76">
        <f t="shared" si="56"/>
        <v>0</v>
      </c>
      <c r="AP937" s="563"/>
      <c r="AR937" s="409"/>
    </row>
    <row r="938" spans="2:44" s="83" customFormat="1">
      <c r="B938" s="79" t="s">
        <v>76</v>
      </c>
      <c r="C938" s="82"/>
      <c r="D938" s="81"/>
      <c r="E938" s="81"/>
      <c r="F938" s="81"/>
      <c r="G938" s="81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75"/>
      <c r="AD938" s="75"/>
      <c r="AE938" s="75"/>
      <c r="AF938" s="75"/>
      <c r="AG938" s="166"/>
      <c r="AH938" s="166"/>
      <c r="AI938" s="75"/>
      <c r="AJ938" s="75"/>
      <c r="AK938" s="75"/>
      <c r="AL938" s="75"/>
      <c r="AM938" s="75"/>
      <c r="AN938" s="75"/>
      <c r="AO938" s="76">
        <f t="shared" si="56"/>
        <v>0</v>
      </c>
      <c r="AP938" s="191"/>
      <c r="AR938" s="409"/>
    </row>
    <row r="939" spans="2:44" s="83" customFormat="1">
      <c r="B939" s="79" t="s">
        <v>76</v>
      </c>
      <c r="C939" s="82"/>
      <c r="D939" s="81"/>
      <c r="E939" s="81"/>
      <c r="F939" s="81"/>
      <c r="G939" s="81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75"/>
      <c r="AD939" s="75"/>
      <c r="AE939" s="75"/>
      <c r="AF939" s="75"/>
      <c r="AG939" s="166"/>
      <c r="AH939" s="166"/>
      <c r="AI939" s="75"/>
      <c r="AJ939" s="75"/>
      <c r="AK939" s="75"/>
      <c r="AL939" s="75"/>
      <c r="AM939" s="75"/>
      <c r="AN939" s="75"/>
      <c r="AO939" s="76">
        <f t="shared" si="56"/>
        <v>0</v>
      </c>
      <c r="AP939" s="562">
        <f>SUM(AO939:AO943)</f>
        <v>0</v>
      </c>
      <c r="AR939" s="409"/>
    </row>
    <row r="940" spans="2:44" s="83" customFormat="1">
      <c r="B940" s="79" t="s">
        <v>76</v>
      </c>
      <c r="C940" s="82"/>
      <c r="D940" s="81"/>
      <c r="E940" s="81"/>
      <c r="F940" s="81"/>
      <c r="G940" s="81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75"/>
      <c r="AD940" s="75"/>
      <c r="AE940" s="75"/>
      <c r="AF940" s="75"/>
      <c r="AG940" s="166"/>
      <c r="AH940" s="166"/>
      <c r="AI940" s="75"/>
      <c r="AJ940" s="75"/>
      <c r="AK940" s="75"/>
      <c r="AL940" s="75"/>
      <c r="AM940" s="75"/>
      <c r="AN940" s="75"/>
      <c r="AO940" s="76">
        <f t="shared" si="56"/>
        <v>0</v>
      </c>
      <c r="AP940" s="562"/>
      <c r="AR940" s="409"/>
    </row>
    <row r="941" spans="2:44" s="83" customFormat="1">
      <c r="B941" s="79" t="s">
        <v>76</v>
      </c>
      <c r="C941" s="82"/>
      <c r="D941" s="81"/>
      <c r="E941" s="81"/>
      <c r="F941" s="81"/>
      <c r="G941" s="81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75"/>
      <c r="AD941" s="75"/>
      <c r="AE941" s="75"/>
      <c r="AF941" s="75"/>
      <c r="AG941" s="166"/>
      <c r="AH941" s="166"/>
      <c r="AI941" s="75"/>
      <c r="AJ941" s="75"/>
      <c r="AK941" s="75"/>
      <c r="AL941" s="75"/>
      <c r="AM941" s="75"/>
      <c r="AN941" s="75"/>
      <c r="AO941" s="76">
        <f t="shared" si="56"/>
        <v>0</v>
      </c>
      <c r="AP941" s="562"/>
      <c r="AR941" s="409"/>
    </row>
    <row r="942" spans="2:44" s="83" customFormat="1">
      <c r="B942" s="79" t="s">
        <v>76</v>
      </c>
      <c r="C942" s="82"/>
      <c r="D942" s="81"/>
      <c r="E942" s="80"/>
      <c r="F942" s="81"/>
      <c r="G942" s="81"/>
      <c r="H942" s="41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75"/>
      <c r="AD942" s="75"/>
      <c r="AE942" s="75"/>
      <c r="AF942" s="75"/>
      <c r="AG942" s="75"/>
      <c r="AH942" s="75"/>
      <c r="AI942" s="75"/>
      <c r="AJ942" s="75"/>
      <c r="AK942" s="75"/>
      <c r="AL942" s="75"/>
      <c r="AM942" s="75"/>
      <c r="AN942" s="75"/>
      <c r="AO942" s="76">
        <f t="shared" si="56"/>
        <v>0</v>
      </c>
      <c r="AP942" s="562"/>
      <c r="AR942" s="409"/>
    </row>
    <row r="943" spans="2:44" s="83" customFormat="1" ht="16.5" thickBot="1">
      <c r="B943" s="79" t="s">
        <v>76</v>
      </c>
      <c r="C943" s="82"/>
      <c r="D943" s="81"/>
      <c r="E943" s="81"/>
      <c r="F943" s="81"/>
      <c r="G943" s="81"/>
      <c r="H943" s="41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75"/>
      <c r="AD943" s="75"/>
      <c r="AE943" s="75"/>
      <c r="AF943" s="75"/>
      <c r="AG943" s="75"/>
      <c r="AH943" s="75"/>
      <c r="AI943" s="75"/>
      <c r="AJ943" s="75"/>
      <c r="AK943" s="75"/>
      <c r="AL943" s="75"/>
      <c r="AM943" s="75"/>
      <c r="AN943" s="75"/>
      <c r="AO943" s="76">
        <f t="shared" si="56"/>
        <v>0</v>
      </c>
      <c r="AP943" s="563"/>
      <c r="AR943" s="409"/>
    </row>
    <row r="944" spans="2:44" s="83" customFormat="1">
      <c r="B944" s="79" t="s">
        <v>76</v>
      </c>
      <c r="C944" s="79"/>
      <c r="D944" s="80"/>
      <c r="E944" s="81"/>
      <c r="F944" s="81"/>
      <c r="G944" s="81"/>
      <c r="H944" s="442"/>
      <c r="I944" s="443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75"/>
      <c r="AD944" s="75"/>
      <c r="AE944" s="75"/>
      <c r="AF944" s="75"/>
      <c r="AG944" s="75"/>
      <c r="AH944" s="75"/>
      <c r="AI944" s="75"/>
      <c r="AJ944" s="75"/>
      <c r="AK944" s="75"/>
      <c r="AL944" s="75"/>
      <c r="AM944" s="75"/>
      <c r="AN944" s="75"/>
      <c r="AO944" s="76">
        <f t="shared" si="56"/>
        <v>0</v>
      </c>
      <c r="AP944" s="191"/>
      <c r="AR944" s="409"/>
    </row>
    <row r="945" spans="2:44" s="83" customFormat="1">
      <c r="B945" s="79" t="s">
        <v>76</v>
      </c>
      <c r="C945" s="79"/>
      <c r="D945" s="80"/>
      <c r="E945" s="81"/>
      <c r="F945" s="81"/>
      <c r="G945" s="81"/>
      <c r="H945" s="41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75"/>
      <c r="AD945" s="75"/>
      <c r="AE945" s="75"/>
      <c r="AF945" s="75"/>
      <c r="AG945" s="166"/>
      <c r="AH945" s="75"/>
      <c r="AI945" s="75"/>
      <c r="AJ945" s="75"/>
      <c r="AK945" s="75"/>
      <c r="AL945" s="75"/>
      <c r="AM945" s="75"/>
      <c r="AN945" s="75"/>
      <c r="AO945" s="76">
        <f t="shared" si="56"/>
        <v>0</v>
      </c>
      <c r="AP945" s="191"/>
      <c r="AR945" s="409"/>
    </row>
    <row r="946" spans="2:44" s="83" customFormat="1">
      <c r="B946" s="79" t="s">
        <v>76</v>
      </c>
      <c r="C946" s="79"/>
      <c r="D946" s="80"/>
      <c r="E946" s="81"/>
      <c r="F946" s="81"/>
      <c r="G946" s="81"/>
      <c r="H946" s="41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75"/>
      <c r="AD946" s="75"/>
      <c r="AE946" s="75"/>
      <c r="AF946" s="75"/>
      <c r="AG946" s="166"/>
      <c r="AH946" s="75"/>
      <c r="AI946" s="75"/>
      <c r="AJ946" s="75"/>
      <c r="AK946" s="75"/>
      <c r="AL946" s="75"/>
      <c r="AM946" s="75"/>
      <c r="AN946" s="75"/>
      <c r="AO946" s="76">
        <f t="shared" si="56"/>
        <v>0</v>
      </c>
      <c r="AP946" s="191"/>
      <c r="AR946" s="409"/>
    </row>
    <row r="947" spans="2:44" s="83" customFormat="1">
      <c r="B947" s="79" t="s">
        <v>76</v>
      </c>
      <c r="C947" s="79"/>
      <c r="D947" s="80"/>
      <c r="E947" s="81"/>
      <c r="F947" s="81"/>
      <c r="G947" s="81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75"/>
      <c r="AD947" s="75"/>
      <c r="AE947" s="75"/>
      <c r="AF947" s="75"/>
      <c r="AG947" s="166"/>
      <c r="AH947" s="75"/>
      <c r="AI947" s="75"/>
      <c r="AJ947" s="75"/>
      <c r="AK947" s="75"/>
      <c r="AL947" s="75"/>
      <c r="AM947" s="75"/>
      <c r="AN947" s="75"/>
      <c r="AO947" s="76">
        <f t="shared" si="56"/>
        <v>0</v>
      </c>
      <c r="AP947" s="191"/>
      <c r="AR947" s="409"/>
    </row>
    <row r="948" spans="2:44" s="83" customFormat="1">
      <c r="B948" s="79" t="s">
        <v>76</v>
      </c>
      <c r="C948" s="79"/>
      <c r="D948" s="80"/>
      <c r="E948" s="81"/>
      <c r="F948" s="81"/>
      <c r="G948" s="81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75"/>
      <c r="AD948" s="75"/>
      <c r="AE948" s="75"/>
      <c r="AF948" s="75"/>
      <c r="AG948" s="166"/>
      <c r="AH948" s="75"/>
      <c r="AI948" s="75"/>
      <c r="AJ948" s="75"/>
      <c r="AK948" s="75"/>
      <c r="AL948" s="75"/>
      <c r="AM948" s="75"/>
      <c r="AN948" s="75"/>
      <c r="AO948" s="76">
        <f t="shared" ref="AO948:AO955" si="57">SUM(I948:AN948)</f>
        <v>0</v>
      </c>
      <c r="AP948" s="191"/>
      <c r="AR948" s="409"/>
    </row>
    <row r="949" spans="2:44" s="83" customFormat="1" ht="16.5" thickBot="1">
      <c r="B949" s="79" t="s">
        <v>76</v>
      </c>
      <c r="C949" s="79"/>
      <c r="D949" s="80"/>
      <c r="E949" s="81"/>
      <c r="F949" s="81"/>
      <c r="G949" s="81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75"/>
      <c r="AD949" s="75"/>
      <c r="AE949" s="75"/>
      <c r="AF949" s="75"/>
      <c r="AG949" s="166"/>
      <c r="AH949" s="75"/>
      <c r="AI949" s="75"/>
      <c r="AJ949" s="75"/>
      <c r="AK949" s="75"/>
      <c r="AL949" s="75"/>
      <c r="AM949" s="75"/>
      <c r="AN949" s="75"/>
      <c r="AO949" s="76">
        <f t="shared" si="57"/>
        <v>0</v>
      </c>
      <c r="AP949" s="231"/>
      <c r="AR949" s="409"/>
    </row>
    <row r="950" spans="2:44" s="83" customFormat="1">
      <c r="B950" s="79" t="s">
        <v>76</v>
      </c>
      <c r="C950" s="79"/>
      <c r="D950" s="80"/>
      <c r="E950" s="81"/>
      <c r="F950" s="81"/>
      <c r="G950" s="81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75"/>
      <c r="AD950" s="75"/>
      <c r="AE950" s="75"/>
      <c r="AF950" s="75"/>
      <c r="AG950" s="166"/>
      <c r="AH950" s="75"/>
      <c r="AI950" s="75"/>
      <c r="AJ950" s="75"/>
      <c r="AK950" s="75"/>
      <c r="AL950" s="75"/>
      <c r="AM950" s="75"/>
      <c r="AN950" s="75"/>
      <c r="AO950" s="76">
        <f t="shared" si="57"/>
        <v>0</v>
      </c>
      <c r="AP950" s="561"/>
      <c r="AR950" s="409"/>
    </row>
    <row r="951" spans="2:44" s="83" customFormat="1">
      <c r="B951" s="79" t="s">
        <v>76</v>
      </c>
      <c r="C951" s="79"/>
      <c r="D951" s="80"/>
      <c r="E951" s="81"/>
      <c r="F951" s="81"/>
      <c r="G951" s="81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75"/>
      <c r="AD951" s="75"/>
      <c r="AE951" s="75"/>
      <c r="AF951" s="75"/>
      <c r="AG951" s="166"/>
      <c r="AH951" s="75"/>
      <c r="AI951" s="75"/>
      <c r="AJ951" s="75"/>
      <c r="AK951" s="75"/>
      <c r="AL951" s="75"/>
      <c r="AM951" s="75"/>
      <c r="AN951" s="75"/>
      <c r="AO951" s="76">
        <f t="shared" si="57"/>
        <v>0</v>
      </c>
      <c r="AP951" s="562"/>
      <c r="AR951" s="409"/>
    </row>
    <row r="952" spans="2:44" s="83" customFormat="1">
      <c r="B952" s="79" t="s">
        <v>76</v>
      </c>
      <c r="C952" s="79"/>
      <c r="D952" s="80"/>
      <c r="E952" s="81"/>
      <c r="F952" s="81"/>
      <c r="G952" s="81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75"/>
      <c r="AD952" s="75"/>
      <c r="AE952" s="75"/>
      <c r="AF952" s="75"/>
      <c r="AG952" s="166"/>
      <c r="AH952" s="75"/>
      <c r="AI952" s="75"/>
      <c r="AJ952" s="75"/>
      <c r="AK952" s="75"/>
      <c r="AL952" s="75"/>
      <c r="AM952" s="75"/>
      <c r="AN952" s="75"/>
      <c r="AO952" s="76">
        <f t="shared" si="57"/>
        <v>0</v>
      </c>
      <c r="AP952" s="562"/>
      <c r="AR952" s="409"/>
    </row>
    <row r="953" spans="2:44" s="83" customFormat="1">
      <c r="B953" s="79" t="s">
        <v>76</v>
      </c>
      <c r="C953" s="79"/>
      <c r="D953" s="80"/>
      <c r="E953" s="81"/>
      <c r="F953" s="81"/>
      <c r="G953" s="81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75"/>
      <c r="AD953" s="75"/>
      <c r="AE953" s="75"/>
      <c r="AF953" s="75"/>
      <c r="AG953" s="166"/>
      <c r="AH953" s="75"/>
      <c r="AI953" s="75"/>
      <c r="AJ953" s="75"/>
      <c r="AK953" s="75"/>
      <c r="AL953" s="75"/>
      <c r="AM953" s="75"/>
      <c r="AN953" s="75"/>
      <c r="AO953" s="76">
        <f t="shared" si="57"/>
        <v>0</v>
      </c>
      <c r="AP953" s="562"/>
      <c r="AR953" s="409"/>
    </row>
    <row r="954" spans="2:44" s="83" customFormat="1">
      <c r="B954" s="79" t="s">
        <v>76</v>
      </c>
      <c r="C954" s="79"/>
      <c r="D954" s="80"/>
      <c r="E954" s="81"/>
      <c r="F954" s="81"/>
      <c r="G954" s="81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75"/>
      <c r="AD954" s="75"/>
      <c r="AE954" s="75"/>
      <c r="AF954" s="75"/>
      <c r="AG954" s="166"/>
      <c r="AH954" s="75"/>
      <c r="AI954" s="75"/>
      <c r="AJ954" s="75"/>
      <c r="AK954" s="75"/>
      <c r="AL954" s="75"/>
      <c r="AM954" s="75"/>
      <c r="AN954" s="75"/>
      <c r="AO954" s="76">
        <f t="shared" si="57"/>
        <v>0</v>
      </c>
      <c r="AP954" s="562"/>
      <c r="AR954" s="409"/>
    </row>
    <row r="955" spans="2:44" s="83" customFormat="1">
      <c r="B955" s="79" t="s">
        <v>76</v>
      </c>
      <c r="C955" s="79"/>
      <c r="D955" s="80"/>
      <c r="E955" s="81"/>
      <c r="F955" s="81"/>
      <c r="G955" s="81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75"/>
      <c r="AD955" s="75"/>
      <c r="AE955" s="75"/>
      <c r="AF955" s="75"/>
      <c r="AG955" s="75"/>
      <c r="AH955" s="75"/>
      <c r="AI955" s="75"/>
      <c r="AJ955" s="75"/>
      <c r="AK955" s="75"/>
      <c r="AL955" s="75"/>
      <c r="AM955" s="75"/>
      <c r="AN955" s="75"/>
      <c r="AO955" s="76">
        <f t="shared" si="57"/>
        <v>0</v>
      </c>
      <c r="AP955" s="562"/>
      <c r="AR955" s="409"/>
    </row>
    <row r="956" spans="2:44" s="83" customFormat="1">
      <c r="B956" s="79" t="s">
        <v>76</v>
      </c>
      <c r="C956" s="79"/>
      <c r="D956" s="80"/>
      <c r="E956" s="81"/>
      <c r="F956" s="81"/>
      <c r="G956" s="81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75"/>
      <c r="AD956" s="75"/>
      <c r="AE956" s="75"/>
      <c r="AF956" s="75"/>
      <c r="AG956" s="75"/>
      <c r="AH956" s="75"/>
      <c r="AI956" s="75"/>
      <c r="AJ956" s="75"/>
      <c r="AK956" s="75"/>
      <c r="AL956" s="75"/>
      <c r="AM956" s="75"/>
      <c r="AN956" s="75"/>
      <c r="AO956" s="76">
        <f>SUM(I956:AN956)</f>
        <v>0</v>
      </c>
      <c r="AP956" s="562"/>
      <c r="AR956" s="409"/>
    </row>
    <row r="957" spans="2:44" s="83" customFormat="1">
      <c r="B957" s="79" t="s">
        <v>76</v>
      </c>
      <c r="C957" s="79"/>
      <c r="D957" s="80"/>
      <c r="E957" s="81"/>
      <c r="F957" s="81"/>
      <c r="G957" s="81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75"/>
      <c r="AD957" s="166"/>
      <c r="AE957" s="75"/>
      <c r="AF957" s="75"/>
      <c r="AG957" s="75"/>
      <c r="AH957" s="75"/>
      <c r="AI957" s="75"/>
      <c r="AJ957" s="75"/>
      <c r="AK957" s="75"/>
      <c r="AL957" s="75"/>
      <c r="AM957" s="75"/>
      <c r="AN957" s="75"/>
      <c r="AO957" s="76">
        <f t="shared" ref="AO957:AO962" si="58">SUM(I957:AN957)</f>
        <v>0</v>
      </c>
      <c r="AP957" s="562"/>
      <c r="AR957" s="409"/>
    </row>
    <row r="958" spans="2:44" s="83" customFormat="1">
      <c r="B958" s="79" t="s">
        <v>76</v>
      </c>
      <c r="C958" s="79"/>
      <c r="D958" s="80"/>
      <c r="E958" s="81"/>
      <c r="F958" s="81"/>
      <c r="G958" s="81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75"/>
      <c r="AD958" s="75"/>
      <c r="AE958" s="75"/>
      <c r="AF958" s="75"/>
      <c r="AG958" s="75"/>
      <c r="AH958" s="75"/>
      <c r="AI958" s="75"/>
      <c r="AJ958" s="75"/>
      <c r="AK958" s="75"/>
      <c r="AL958" s="75"/>
      <c r="AM958" s="75"/>
      <c r="AN958" s="75"/>
      <c r="AO958" s="76">
        <f t="shared" si="58"/>
        <v>0</v>
      </c>
      <c r="AP958" s="562"/>
      <c r="AR958" s="409"/>
    </row>
    <row r="959" spans="2:44" s="83" customFormat="1">
      <c r="B959" s="79" t="s">
        <v>76</v>
      </c>
      <c r="C959" s="79"/>
      <c r="D959" s="80"/>
      <c r="E959" s="81"/>
      <c r="F959" s="388"/>
      <c r="G959" s="388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75"/>
      <c r="AD959" s="75"/>
      <c r="AE959" s="75"/>
      <c r="AF959" s="75"/>
      <c r="AG959" s="75"/>
      <c r="AH959" s="75"/>
      <c r="AI959" s="75"/>
      <c r="AJ959" s="75"/>
      <c r="AK959" s="75"/>
      <c r="AL959" s="75"/>
      <c r="AM959" s="75"/>
      <c r="AN959" s="75"/>
      <c r="AO959" s="76">
        <f t="shared" si="58"/>
        <v>0</v>
      </c>
      <c r="AP959" s="562"/>
      <c r="AR959" s="409"/>
    </row>
    <row r="960" spans="2:44" s="83" customFormat="1">
      <c r="B960" s="79" t="s">
        <v>76</v>
      </c>
      <c r="C960" s="79"/>
      <c r="D960" s="80"/>
      <c r="E960" s="81"/>
      <c r="F960" s="81"/>
      <c r="G960" s="81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75"/>
      <c r="AD960" s="75"/>
      <c r="AE960" s="75"/>
      <c r="AF960" s="75"/>
      <c r="AG960" s="166"/>
      <c r="AH960" s="75"/>
      <c r="AI960" s="75"/>
      <c r="AJ960" s="75"/>
      <c r="AK960" s="75"/>
      <c r="AL960" s="75"/>
      <c r="AM960" s="75"/>
      <c r="AN960" s="75"/>
      <c r="AO960" s="76">
        <f t="shared" si="58"/>
        <v>0</v>
      </c>
      <c r="AP960" s="562"/>
      <c r="AR960" s="409"/>
    </row>
    <row r="961" spans="2:44" s="83" customFormat="1">
      <c r="B961" s="79" t="s">
        <v>76</v>
      </c>
      <c r="C961" s="79"/>
      <c r="D961" s="80"/>
      <c r="E961" s="81"/>
      <c r="F961" s="81"/>
      <c r="G961" s="81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  <c r="AC961" s="75"/>
      <c r="AD961" s="75"/>
      <c r="AE961" s="75"/>
      <c r="AF961" s="75"/>
      <c r="AG961" s="166"/>
      <c r="AH961" s="75"/>
      <c r="AI961" s="75"/>
      <c r="AJ961" s="75"/>
      <c r="AK961" s="75"/>
      <c r="AL961" s="75"/>
      <c r="AM961" s="75"/>
      <c r="AN961" s="75"/>
      <c r="AO961" s="76">
        <f t="shared" si="58"/>
        <v>0</v>
      </c>
      <c r="AP961" s="562"/>
      <c r="AR961" s="409"/>
    </row>
    <row r="962" spans="2:44" s="83" customFormat="1">
      <c r="B962" s="79" t="s">
        <v>76</v>
      </c>
      <c r="C962" s="79"/>
      <c r="D962" s="80"/>
      <c r="E962" s="81"/>
      <c r="F962" s="81"/>
      <c r="G962" s="81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  <c r="AC962" s="75"/>
      <c r="AD962" s="75"/>
      <c r="AE962" s="75"/>
      <c r="AF962" s="75"/>
      <c r="AG962" s="166"/>
      <c r="AH962" s="75"/>
      <c r="AI962" s="75"/>
      <c r="AJ962" s="75"/>
      <c r="AK962" s="75"/>
      <c r="AL962" s="75"/>
      <c r="AM962" s="75"/>
      <c r="AN962" s="75"/>
      <c r="AO962" s="76">
        <f t="shared" si="58"/>
        <v>0</v>
      </c>
      <c r="AP962" s="562"/>
      <c r="AR962" s="409"/>
    </row>
    <row r="963" spans="2:44" s="83" customFormat="1">
      <c r="B963" s="79" t="s">
        <v>76</v>
      </c>
      <c r="C963" s="79"/>
      <c r="D963" s="80"/>
      <c r="E963" s="81"/>
      <c r="F963" s="81"/>
      <c r="G963" s="81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75"/>
      <c r="AD963" s="75"/>
      <c r="AE963" s="75"/>
      <c r="AF963" s="75"/>
      <c r="AG963" s="166"/>
      <c r="AH963" s="75"/>
      <c r="AI963" s="75"/>
      <c r="AJ963" s="75"/>
      <c r="AK963" s="75"/>
      <c r="AL963" s="75"/>
      <c r="AM963" s="75"/>
      <c r="AN963" s="75"/>
      <c r="AO963" s="76">
        <f t="shared" ref="AO963:AO974" si="59">SUM(I963:AN963)</f>
        <v>0</v>
      </c>
      <c r="AP963" s="562"/>
      <c r="AR963" s="409"/>
    </row>
    <row r="964" spans="2:44" s="83" customFormat="1">
      <c r="B964" s="79" t="s">
        <v>76</v>
      </c>
      <c r="C964" s="79"/>
      <c r="D964" s="80"/>
      <c r="E964" s="81"/>
      <c r="F964" s="81"/>
      <c r="G964" s="81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  <c r="AC964" s="75"/>
      <c r="AD964" s="75"/>
      <c r="AE964" s="75"/>
      <c r="AF964" s="75"/>
      <c r="AG964" s="166"/>
      <c r="AH964" s="75"/>
      <c r="AI964" s="75"/>
      <c r="AJ964" s="75"/>
      <c r="AK964" s="75"/>
      <c r="AL964" s="75"/>
      <c r="AM964" s="75"/>
      <c r="AN964" s="75"/>
      <c r="AO964" s="76">
        <f t="shared" si="59"/>
        <v>0</v>
      </c>
      <c r="AP964" s="562"/>
      <c r="AR964" s="409"/>
    </row>
    <row r="965" spans="2:44" s="83" customFormat="1">
      <c r="B965" s="79" t="s">
        <v>76</v>
      </c>
      <c r="C965" s="79"/>
      <c r="D965" s="80"/>
      <c r="E965" s="81"/>
      <c r="F965" s="81"/>
      <c r="G965" s="81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  <c r="AC965" s="75"/>
      <c r="AD965" s="75"/>
      <c r="AE965" s="75"/>
      <c r="AF965" s="75"/>
      <c r="AG965" s="166"/>
      <c r="AH965" s="75"/>
      <c r="AI965" s="75"/>
      <c r="AJ965" s="75"/>
      <c r="AK965" s="75"/>
      <c r="AL965" s="75"/>
      <c r="AM965" s="75"/>
      <c r="AN965" s="75"/>
      <c r="AO965" s="76">
        <f t="shared" si="59"/>
        <v>0</v>
      </c>
      <c r="AP965" s="562"/>
      <c r="AR965" s="409"/>
    </row>
    <row r="966" spans="2:44" s="83" customFormat="1">
      <c r="B966" s="79" t="s">
        <v>76</v>
      </c>
      <c r="C966" s="79"/>
      <c r="D966" s="80"/>
      <c r="E966" s="81"/>
      <c r="F966" s="81"/>
      <c r="G966" s="81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  <c r="AC966" s="75"/>
      <c r="AD966" s="75"/>
      <c r="AE966" s="75"/>
      <c r="AF966" s="75"/>
      <c r="AG966" s="166"/>
      <c r="AH966" s="75"/>
      <c r="AI966" s="75"/>
      <c r="AJ966" s="75"/>
      <c r="AK966" s="75"/>
      <c r="AL966" s="75"/>
      <c r="AM966" s="75"/>
      <c r="AN966" s="75"/>
      <c r="AO966" s="76">
        <f t="shared" si="59"/>
        <v>0</v>
      </c>
      <c r="AP966" s="562"/>
      <c r="AR966" s="409"/>
    </row>
    <row r="967" spans="2:44" s="83" customFormat="1">
      <c r="B967" s="79" t="s">
        <v>76</v>
      </c>
      <c r="C967" s="79"/>
      <c r="D967" s="80"/>
      <c r="E967" s="81"/>
      <c r="F967" s="81"/>
      <c r="G967" s="81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  <c r="AC967" s="75"/>
      <c r="AD967" s="75"/>
      <c r="AE967" s="75"/>
      <c r="AF967" s="75"/>
      <c r="AG967" s="166"/>
      <c r="AH967" s="75"/>
      <c r="AI967" s="75"/>
      <c r="AJ967" s="75"/>
      <c r="AK967" s="75"/>
      <c r="AL967" s="75"/>
      <c r="AM967" s="75"/>
      <c r="AN967" s="75"/>
      <c r="AO967" s="76">
        <f t="shared" si="59"/>
        <v>0</v>
      </c>
      <c r="AP967" s="562"/>
      <c r="AR967" s="409"/>
    </row>
    <row r="968" spans="2:44" s="83" customFormat="1">
      <c r="B968" s="79" t="s">
        <v>76</v>
      </c>
      <c r="C968" s="79"/>
      <c r="D968" s="80"/>
      <c r="E968" s="81"/>
      <c r="F968" s="81"/>
      <c r="G968" s="81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  <c r="AC968" s="75"/>
      <c r="AD968" s="75"/>
      <c r="AE968" s="75"/>
      <c r="AF968" s="75"/>
      <c r="AG968" s="166"/>
      <c r="AH968" s="75"/>
      <c r="AI968" s="75"/>
      <c r="AJ968" s="75"/>
      <c r="AK968" s="75"/>
      <c r="AL968" s="75"/>
      <c r="AM968" s="75"/>
      <c r="AN968" s="75"/>
      <c r="AO968" s="76">
        <f t="shared" si="59"/>
        <v>0</v>
      </c>
      <c r="AP968" s="562"/>
      <c r="AR968" s="409"/>
    </row>
    <row r="969" spans="2:44" s="83" customFormat="1" ht="16.5" thickBot="1">
      <c r="B969" s="79" t="s">
        <v>76</v>
      </c>
      <c r="C969" s="79"/>
      <c r="D969" s="80"/>
      <c r="E969" s="81"/>
      <c r="F969" s="81"/>
      <c r="G969" s="81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  <c r="AC969" s="75"/>
      <c r="AD969" s="75"/>
      <c r="AE969" s="75"/>
      <c r="AF969" s="75"/>
      <c r="AG969" s="75"/>
      <c r="AH969" s="75"/>
      <c r="AI969" s="75"/>
      <c r="AJ969" s="75"/>
      <c r="AK969" s="75"/>
      <c r="AL969" s="75"/>
      <c r="AM969" s="75"/>
      <c r="AN969" s="75"/>
      <c r="AO969" s="76">
        <f t="shared" si="59"/>
        <v>0</v>
      </c>
      <c r="AP969" s="563"/>
      <c r="AR969" s="409"/>
    </row>
    <row r="970" spans="2:44" s="83" customFormat="1">
      <c r="B970" s="79" t="s">
        <v>76</v>
      </c>
      <c r="C970" s="79"/>
      <c r="D970" s="80"/>
      <c r="E970" s="81"/>
      <c r="F970" s="81"/>
      <c r="G970" s="81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  <c r="AC970" s="75"/>
      <c r="AD970" s="75"/>
      <c r="AE970" s="75"/>
      <c r="AF970" s="75"/>
      <c r="AG970" s="75"/>
      <c r="AH970" s="75"/>
      <c r="AI970" s="75"/>
      <c r="AJ970" s="75"/>
      <c r="AK970" s="75"/>
      <c r="AL970" s="75"/>
      <c r="AM970" s="75"/>
      <c r="AN970" s="75"/>
      <c r="AO970" s="76">
        <f t="shared" si="59"/>
        <v>0</v>
      </c>
      <c r="AP970" s="561">
        <f>SUM(AO970:AO984)</f>
        <v>0</v>
      </c>
      <c r="AR970" s="409"/>
    </row>
    <row r="971" spans="2:44" s="83" customFormat="1">
      <c r="B971" s="79" t="s">
        <v>76</v>
      </c>
      <c r="C971" s="79"/>
      <c r="D971" s="80"/>
      <c r="E971" s="81"/>
      <c r="F971" s="81"/>
      <c r="G971" s="81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  <c r="AC971" s="75"/>
      <c r="AD971" s="75"/>
      <c r="AE971" s="75"/>
      <c r="AF971" s="75"/>
      <c r="AG971" s="75"/>
      <c r="AH971" s="75"/>
      <c r="AI971" s="75"/>
      <c r="AJ971" s="75"/>
      <c r="AK971" s="75"/>
      <c r="AL971" s="75"/>
      <c r="AM971" s="75"/>
      <c r="AN971" s="75"/>
      <c r="AO971" s="76">
        <f t="shared" si="59"/>
        <v>0</v>
      </c>
      <c r="AP971" s="562"/>
      <c r="AR971" s="409"/>
    </row>
    <row r="972" spans="2:44" s="83" customFormat="1">
      <c r="B972" s="79" t="s">
        <v>76</v>
      </c>
      <c r="C972" s="79"/>
      <c r="D972" s="80"/>
      <c r="E972" s="81"/>
      <c r="F972" s="81"/>
      <c r="G972" s="81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  <c r="AC972" s="75"/>
      <c r="AD972" s="75"/>
      <c r="AE972" s="75"/>
      <c r="AF972" s="75"/>
      <c r="AG972" s="75"/>
      <c r="AH972" s="75"/>
      <c r="AI972" s="75"/>
      <c r="AJ972" s="75"/>
      <c r="AK972" s="75"/>
      <c r="AL972" s="75"/>
      <c r="AM972" s="75"/>
      <c r="AN972" s="75"/>
      <c r="AO972" s="76">
        <f t="shared" si="59"/>
        <v>0</v>
      </c>
      <c r="AP972" s="562"/>
      <c r="AR972" s="409"/>
    </row>
    <row r="973" spans="2:44" s="83" customFormat="1" ht="15">
      <c r="B973" s="79" t="s">
        <v>76</v>
      </c>
      <c r="C973" s="79"/>
      <c r="D973" s="80"/>
      <c r="E973" s="81"/>
      <c r="F973" s="81"/>
      <c r="G973" s="81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  <c r="AC973" s="75"/>
      <c r="AD973" s="75"/>
      <c r="AE973" s="75"/>
      <c r="AF973" s="75"/>
      <c r="AG973" s="75"/>
      <c r="AH973" s="75"/>
      <c r="AI973" s="75"/>
      <c r="AJ973" s="75"/>
      <c r="AK973" s="75"/>
      <c r="AL973" s="75"/>
      <c r="AM973" s="75"/>
      <c r="AN973" s="75"/>
      <c r="AO973" s="76">
        <f t="shared" si="59"/>
        <v>0</v>
      </c>
      <c r="AP973" s="562"/>
    </row>
    <row r="974" spans="2:44" s="83" customFormat="1" ht="15">
      <c r="B974" s="79" t="s">
        <v>76</v>
      </c>
      <c r="C974" s="79"/>
      <c r="D974" s="80"/>
      <c r="E974" s="81"/>
      <c r="F974" s="81"/>
      <c r="G974" s="81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  <c r="AC974" s="75"/>
      <c r="AD974" s="75"/>
      <c r="AE974" s="75"/>
      <c r="AF974" s="75"/>
      <c r="AG974" s="75"/>
      <c r="AH974" s="75"/>
      <c r="AI974" s="75"/>
      <c r="AJ974" s="75"/>
      <c r="AK974" s="75"/>
      <c r="AL974" s="75"/>
      <c r="AM974" s="75"/>
      <c r="AN974" s="75"/>
      <c r="AO974" s="76">
        <f t="shared" si="59"/>
        <v>0</v>
      </c>
      <c r="AP974" s="562"/>
    </row>
    <row r="975" spans="2:44" s="83" customFormat="1" ht="15">
      <c r="B975" s="79" t="s">
        <v>76</v>
      </c>
      <c r="C975" s="79"/>
      <c r="D975" s="80"/>
      <c r="E975" s="81"/>
      <c r="F975" s="81"/>
      <c r="G975" s="81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  <c r="AC975" s="75"/>
      <c r="AD975" s="75"/>
      <c r="AE975" s="75"/>
      <c r="AF975" s="75"/>
      <c r="AG975" s="75"/>
      <c r="AH975" s="75"/>
      <c r="AI975" s="75"/>
      <c r="AJ975" s="75"/>
      <c r="AK975" s="75"/>
      <c r="AL975" s="75"/>
      <c r="AM975" s="75"/>
      <c r="AN975" s="75"/>
      <c r="AO975" s="76">
        <f t="shared" ref="AO975:AO982" si="60">SUM(I975:AN975)</f>
        <v>0</v>
      </c>
      <c r="AP975" s="562"/>
    </row>
    <row r="976" spans="2:44" s="83" customFormat="1" ht="15">
      <c r="B976" s="79" t="s">
        <v>76</v>
      </c>
      <c r="C976" s="79"/>
      <c r="D976" s="80"/>
      <c r="E976" s="81"/>
      <c r="F976" s="81"/>
      <c r="G976" s="81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  <c r="AC976" s="75"/>
      <c r="AD976" s="75"/>
      <c r="AE976" s="75"/>
      <c r="AF976" s="75"/>
      <c r="AG976" s="75"/>
      <c r="AH976" s="75"/>
      <c r="AI976" s="75"/>
      <c r="AJ976" s="75"/>
      <c r="AK976" s="75"/>
      <c r="AL976" s="75"/>
      <c r="AM976" s="75"/>
      <c r="AN976" s="75"/>
      <c r="AO976" s="76">
        <f t="shared" si="60"/>
        <v>0</v>
      </c>
      <c r="AP976" s="562"/>
    </row>
    <row r="977" spans="2:42" s="83" customFormat="1" ht="15">
      <c r="B977" s="79" t="s">
        <v>76</v>
      </c>
      <c r="C977" s="79"/>
      <c r="D977" s="80"/>
      <c r="E977" s="81"/>
      <c r="F977" s="81"/>
      <c r="G977" s="81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  <c r="AB977" s="80"/>
      <c r="AC977" s="75"/>
      <c r="AD977" s="75"/>
      <c r="AE977" s="75"/>
      <c r="AF977" s="75"/>
      <c r="AG977" s="75"/>
      <c r="AH977" s="75"/>
      <c r="AI977" s="75"/>
      <c r="AJ977" s="75"/>
      <c r="AK977" s="75"/>
      <c r="AL977" s="75"/>
      <c r="AM977" s="75"/>
      <c r="AN977" s="75"/>
      <c r="AO977" s="76">
        <f t="shared" si="60"/>
        <v>0</v>
      </c>
      <c r="AP977" s="562"/>
    </row>
    <row r="978" spans="2:42" s="83" customFormat="1" ht="15">
      <c r="B978" s="79" t="s">
        <v>76</v>
      </c>
      <c r="C978" s="79"/>
      <c r="D978" s="80"/>
      <c r="E978" s="81"/>
      <c r="F978" s="81"/>
      <c r="G978" s="81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  <c r="AB978" s="80"/>
      <c r="AC978" s="75"/>
      <c r="AD978" s="75"/>
      <c r="AE978" s="75"/>
      <c r="AF978" s="75"/>
      <c r="AG978" s="75"/>
      <c r="AH978" s="75"/>
      <c r="AI978" s="75"/>
      <c r="AJ978" s="75"/>
      <c r="AK978" s="75"/>
      <c r="AL978" s="75"/>
      <c r="AM978" s="75"/>
      <c r="AN978" s="75"/>
      <c r="AO978" s="76">
        <f t="shared" si="60"/>
        <v>0</v>
      </c>
      <c r="AP978" s="562"/>
    </row>
    <row r="979" spans="2:42" s="83" customFormat="1">
      <c r="B979" s="79" t="s">
        <v>76</v>
      </c>
      <c r="C979" s="79"/>
      <c r="D979" s="80"/>
      <c r="E979" s="81"/>
      <c r="F979" s="81"/>
      <c r="G979" s="81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  <c r="AB979" s="80"/>
      <c r="AC979" s="75"/>
      <c r="AD979" s="75"/>
      <c r="AE979" s="75"/>
      <c r="AF979" s="75"/>
      <c r="AG979" s="166"/>
      <c r="AH979" s="75"/>
      <c r="AI979" s="75"/>
      <c r="AJ979" s="75"/>
      <c r="AK979" s="75"/>
      <c r="AL979" s="75"/>
      <c r="AM979" s="75"/>
      <c r="AN979" s="75"/>
      <c r="AO979" s="76">
        <f t="shared" si="60"/>
        <v>0</v>
      </c>
      <c r="AP979" s="562"/>
    </row>
    <row r="980" spans="2:42" s="83" customFormat="1">
      <c r="B980" s="79" t="s">
        <v>76</v>
      </c>
      <c r="C980" s="79"/>
      <c r="D980" s="80"/>
      <c r="E980" s="81"/>
      <c r="F980" s="81"/>
      <c r="G980" s="81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  <c r="AB980" s="80"/>
      <c r="AC980" s="75"/>
      <c r="AD980" s="75"/>
      <c r="AE980" s="75"/>
      <c r="AF980" s="75"/>
      <c r="AG980" s="166"/>
      <c r="AH980" s="75"/>
      <c r="AI980" s="75"/>
      <c r="AJ980" s="75"/>
      <c r="AK980" s="75"/>
      <c r="AL980" s="75"/>
      <c r="AM980" s="75"/>
      <c r="AN980" s="75"/>
      <c r="AO980" s="76">
        <f t="shared" si="60"/>
        <v>0</v>
      </c>
      <c r="AP980" s="562"/>
    </row>
    <row r="981" spans="2:42" s="83" customFormat="1">
      <c r="B981" s="79" t="s">
        <v>76</v>
      </c>
      <c r="C981" s="79"/>
      <c r="D981" s="80"/>
      <c r="E981" s="81"/>
      <c r="F981" s="81"/>
      <c r="G981" s="81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  <c r="AB981" s="80"/>
      <c r="AC981" s="75"/>
      <c r="AD981" s="75"/>
      <c r="AE981" s="75"/>
      <c r="AF981" s="75"/>
      <c r="AG981" s="166"/>
      <c r="AH981" s="75"/>
      <c r="AI981" s="75"/>
      <c r="AJ981" s="75"/>
      <c r="AK981" s="75"/>
      <c r="AL981" s="75"/>
      <c r="AM981" s="75"/>
      <c r="AN981" s="75"/>
      <c r="AO981" s="76">
        <f t="shared" si="60"/>
        <v>0</v>
      </c>
      <c r="AP981" s="562"/>
    </row>
    <row r="982" spans="2:42" s="83" customFormat="1">
      <c r="B982" s="79" t="s">
        <v>76</v>
      </c>
      <c r="C982" s="79"/>
      <c r="D982" s="80"/>
      <c r="E982" s="81"/>
      <c r="F982" s="81"/>
      <c r="G982" s="81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  <c r="AB982" s="80"/>
      <c r="AC982" s="75"/>
      <c r="AD982" s="75"/>
      <c r="AE982" s="75"/>
      <c r="AF982" s="75"/>
      <c r="AG982" s="166"/>
      <c r="AH982" s="75"/>
      <c r="AI982" s="75"/>
      <c r="AJ982" s="75"/>
      <c r="AK982" s="75"/>
      <c r="AL982" s="75"/>
      <c r="AM982" s="75"/>
      <c r="AN982" s="75"/>
      <c r="AO982" s="76">
        <f t="shared" si="60"/>
        <v>0</v>
      </c>
      <c r="AP982" s="562"/>
    </row>
    <row r="983" spans="2:42" s="83" customFormat="1">
      <c r="B983" s="79" t="s">
        <v>76</v>
      </c>
      <c r="C983" s="79"/>
      <c r="D983" s="80"/>
      <c r="E983" s="81"/>
      <c r="F983" s="81"/>
      <c r="G983" s="81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  <c r="AB983" s="80"/>
      <c r="AC983" s="75"/>
      <c r="AD983" s="75"/>
      <c r="AE983" s="75"/>
      <c r="AF983" s="75"/>
      <c r="AG983" s="166"/>
      <c r="AH983" s="75"/>
      <c r="AI983" s="75"/>
      <c r="AJ983" s="75"/>
      <c r="AK983" s="75"/>
      <c r="AL983" s="75"/>
      <c r="AM983" s="75"/>
      <c r="AN983" s="75"/>
      <c r="AO983" s="76">
        <f>SUM(I983:AN983)</f>
        <v>0</v>
      </c>
      <c r="AP983" s="562"/>
    </row>
    <row r="984" spans="2:42" s="83" customFormat="1" ht="16.5" thickBot="1">
      <c r="B984" s="79" t="s">
        <v>76</v>
      </c>
      <c r="C984" s="79"/>
      <c r="D984" s="80"/>
      <c r="E984" s="81"/>
      <c r="F984" s="81"/>
      <c r="G984" s="81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  <c r="AB984" s="80"/>
      <c r="AC984" s="75"/>
      <c r="AD984" s="75"/>
      <c r="AE984" s="75"/>
      <c r="AF984" s="75"/>
      <c r="AG984" s="166"/>
      <c r="AH984" s="75"/>
      <c r="AI984" s="75"/>
      <c r="AJ984" s="75"/>
      <c r="AK984" s="75"/>
      <c r="AL984" s="75"/>
      <c r="AM984" s="75"/>
      <c r="AN984" s="75"/>
      <c r="AO984" s="76">
        <f>SUM(I984:AN984)</f>
        <v>0</v>
      </c>
      <c r="AP984" s="563"/>
    </row>
    <row r="985" spans="2:42" s="83" customFormat="1">
      <c r="B985" s="79" t="s">
        <v>76</v>
      </c>
      <c r="C985" s="79"/>
      <c r="D985" s="80"/>
      <c r="E985" s="81"/>
      <c r="F985" s="81"/>
      <c r="G985" s="81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  <c r="AB985" s="80"/>
      <c r="AC985" s="75"/>
      <c r="AD985" s="75"/>
      <c r="AE985" s="75"/>
      <c r="AF985" s="75"/>
      <c r="AG985" s="166"/>
      <c r="AH985" s="75"/>
      <c r="AI985" s="75"/>
      <c r="AJ985" s="75"/>
      <c r="AK985" s="75"/>
      <c r="AL985" s="75"/>
      <c r="AM985" s="75"/>
      <c r="AN985" s="75"/>
      <c r="AO985" s="76">
        <f>SUM(I985:AN985)</f>
        <v>0</v>
      </c>
      <c r="AP985" s="561">
        <f>SUM(AO985:AO995)</f>
        <v>0</v>
      </c>
    </row>
    <row r="986" spans="2:42" s="83" customFormat="1">
      <c r="B986" s="79" t="s">
        <v>76</v>
      </c>
      <c r="C986" s="79"/>
      <c r="D986" s="80"/>
      <c r="E986" s="81"/>
      <c r="F986" s="81"/>
      <c r="G986" s="81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  <c r="AB986" s="80"/>
      <c r="AC986" s="75"/>
      <c r="AD986" s="75"/>
      <c r="AE986" s="75"/>
      <c r="AF986" s="75"/>
      <c r="AG986" s="166"/>
      <c r="AH986" s="75"/>
      <c r="AI986" s="75"/>
      <c r="AJ986" s="75"/>
      <c r="AK986" s="75"/>
      <c r="AL986" s="75"/>
      <c r="AM986" s="75"/>
      <c r="AN986" s="75"/>
      <c r="AO986" s="76">
        <f>SUM(I986:AN986)</f>
        <v>0</v>
      </c>
      <c r="AP986" s="562"/>
    </row>
    <row r="987" spans="2:42" s="83" customFormat="1">
      <c r="B987" s="79" t="s">
        <v>76</v>
      </c>
      <c r="C987" s="79"/>
      <c r="D987" s="80"/>
      <c r="E987" s="81"/>
      <c r="F987" s="81"/>
      <c r="G987" s="81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  <c r="AB987" s="80"/>
      <c r="AC987" s="75"/>
      <c r="AD987" s="75"/>
      <c r="AE987" s="75"/>
      <c r="AF987" s="75"/>
      <c r="AG987" s="166"/>
      <c r="AH987" s="75"/>
      <c r="AI987" s="75"/>
      <c r="AJ987" s="75"/>
      <c r="AK987" s="75"/>
      <c r="AL987" s="75"/>
      <c r="AM987" s="75"/>
      <c r="AN987" s="75"/>
      <c r="AO987" s="76">
        <f t="shared" ref="AO987:AO998" si="61">SUM(I987:AN987)</f>
        <v>0</v>
      </c>
      <c r="AP987" s="562"/>
    </row>
    <row r="988" spans="2:42" s="83" customFormat="1">
      <c r="B988" s="79" t="s">
        <v>76</v>
      </c>
      <c r="C988" s="79"/>
      <c r="D988" s="80"/>
      <c r="E988" s="81"/>
      <c r="F988" s="81"/>
      <c r="G988" s="81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  <c r="AB988" s="80"/>
      <c r="AC988" s="75"/>
      <c r="AD988" s="75"/>
      <c r="AE988" s="75"/>
      <c r="AF988" s="75"/>
      <c r="AG988" s="166"/>
      <c r="AH988" s="75"/>
      <c r="AI988" s="75"/>
      <c r="AJ988" s="75"/>
      <c r="AK988" s="75"/>
      <c r="AL988" s="75"/>
      <c r="AM988" s="75"/>
      <c r="AN988" s="75"/>
      <c r="AO988" s="76">
        <f t="shared" si="61"/>
        <v>0</v>
      </c>
      <c r="AP988" s="562"/>
    </row>
    <row r="989" spans="2:42" s="83" customFormat="1">
      <c r="B989" s="79" t="s">
        <v>76</v>
      </c>
      <c r="C989" s="79"/>
      <c r="D989" s="80"/>
      <c r="E989" s="81"/>
      <c r="F989" s="81"/>
      <c r="G989" s="81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  <c r="AB989" s="80"/>
      <c r="AC989" s="75"/>
      <c r="AD989" s="75"/>
      <c r="AE989" s="75"/>
      <c r="AF989" s="75"/>
      <c r="AG989" s="166"/>
      <c r="AH989" s="75"/>
      <c r="AI989" s="75"/>
      <c r="AJ989" s="75"/>
      <c r="AK989" s="75"/>
      <c r="AL989" s="75"/>
      <c r="AM989" s="75"/>
      <c r="AN989" s="75"/>
      <c r="AO989" s="76">
        <f t="shared" si="61"/>
        <v>0</v>
      </c>
      <c r="AP989" s="562"/>
    </row>
    <row r="990" spans="2:42" s="83" customFormat="1">
      <c r="B990" s="79" t="s">
        <v>76</v>
      </c>
      <c r="C990" s="79"/>
      <c r="D990" s="80"/>
      <c r="E990" s="81"/>
      <c r="F990" s="81"/>
      <c r="G990" s="81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  <c r="AB990" s="80"/>
      <c r="AC990" s="75"/>
      <c r="AD990" s="75"/>
      <c r="AE990" s="75"/>
      <c r="AF990" s="75"/>
      <c r="AG990" s="166"/>
      <c r="AH990" s="75"/>
      <c r="AI990" s="75"/>
      <c r="AJ990" s="75"/>
      <c r="AK990" s="75"/>
      <c r="AL990" s="75"/>
      <c r="AM990" s="75"/>
      <c r="AN990" s="75"/>
      <c r="AO990" s="76">
        <f t="shared" si="61"/>
        <v>0</v>
      </c>
      <c r="AP990" s="562"/>
    </row>
    <row r="991" spans="2:42" s="83" customFormat="1">
      <c r="B991" s="79" t="s">
        <v>76</v>
      </c>
      <c r="C991" s="79"/>
      <c r="D991" s="80"/>
      <c r="E991" s="81"/>
      <c r="F991" s="81"/>
      <c r="G991" s="81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  <c r="AB991" s="80"/>
      <c r="AC991" s="75"/>
      <c r="AD991" s="75"/>
      <c r="AE991" s="75"/>
      <c r="AF991" s="75"/>
      <c r="AG991" s="166"/>
      <c r="AH991" s="75"/>
      <c r="AI991" s="75"/>
      <c r="AJ991" s="75"/>
      <c r="AK991" s="75"/>
      <c r="AL991" s="75"/>
      <c r="AM991" s="75"/>
      <c r="AN991" s="75"/>
      <c r="AO991" s="76">
        <f t="shared" si="61"/>
        <v>0</v>
      </c>
      <c r="AP991" s="562"/>
    </row>
    <row r="992" spans="2:42" s="83" customFormat="1">
      <c r="B992" s="79" t="s">
        <v>76</v>
      </c>
      <c r="C992" s="79"/>
      <c r="D992" s="80"/>
      <c r="E992" s="81"/>
      <c r="F992" s="81"/>
      <c r="G992" s="81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  <c r="AB992" s="80"/>
      <c r="AC992" s="75"/>
      <c r="AD992" s="75"/>
      <c r="AE992" s="75"/>
      <c r="AF992" s="75"/>
      <c r="AG992" s="166"/>
      <c r="AH992" s="75"/>
      <c r="AI992" s="75"/>
      <c r="AJ992" s="75"/>
      <c r="AK992" s="75"/>
      <c r="AL992" s="75"/>
      <c r="AM992" s="75"/>
      <c r="AN992" s="75"/>
      <c r="AO992" s="76">
        <f t="shared" si="61"/>
        <v>0</v>
      </c>
      <c r="AP992" s="562"/>
    </row>
    <row r="993" spans="2:42" s="83" customFormat="1">
      <c r="B993" s="79" t="s">
        <v>76</v>
      </c>
      <c r="C993" s="79"/>
      <c r="D993" s="80"/>
      <c r="E993" s="81"/>
      <c r="F993" s="81"/>
      <c r="G993" s="81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  <c r="AB993" s="80"/>
      <c r="AC993" s="75"/>
      <c r="AD993" s="75"/>
      <c r="AE993" s="75"/>
      <c r="AF993" s="75"/>
      <c r="AG993" s="166"/>
      <c r="AH993" s="75"/>
      <c r="AI993" s="75"/>
      <c r="AJ993" s="75"/>
      <c r="AK993" s="75"/>
      <c r="AL993" s="75"/>
      <c r="AM993" s="75"/>
      <c r="AN993" s="75"/>
      <c r="AO993" s="76">
        <f t="shared" si="61"/>
        <v>0</v>
      </c>
      <c r="AP993" s="562"/>
    </row>
    <row r="994" spans="2:42" s="83" customFormat="1">
      <c r="B994" s="79" t="s">
        <v>76</v>
      </c>
      <c r="C994" s="79"/>
      <c r="D994" s="80"/>
      <c r="E994" s="81"/>
      <c r="F994" s="81"/>
      <c r="G994" s="81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  <c r="AB994" s="80"/>
      <c r="AC994" s="75"/>
      <c r="AD994" s="75"/>
      <c r="AE994" s="75"/>
      <c r="AF994" s="75"/>
      <c r="AG994" s="166"/>
      <c r="AH994" s="75"/>
      <c r="AI994" s="75"/>
      <c r="AJ994" s="75"/>
      <c r="AK994" s="75"/>
      <c r="AL994" s="75"/>
      <c r="AM994" s="75"/>
      <c r="AN994" s="75"/>
      <c r="AO994" s="76">
        <f t="shared" si="61"/>
        <v>0</v>
      </c>
      <c r="AP994" s="562"/>
    </row>
    <row r="995" spans="2:42" s="83" customFormat="1" ht="16.5" thickBot="1">
      <c r="B995" s="79" t="s">
        <v>76</v>
      </c>
      <c r="C995" s="79"/>
      <c r="D995" s="80"/>
      <c r="E995" s="81"/>
      <c r="F995" s="81"/>
      <c r="G995" s="81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  <c r="AB995" s="80"/>
      <c r="AC995" s="75"/>
      <c r="AD995" s="75"/>
      <c r="AE995" s="75"/>
      <c r="AF995" s="75"/>
      <c r="AG995" s="166"/>
      <c r="AH995" s="75"/>
      <c r="AI995" s="75"/>
      <c r="AJ995" s="75"/>
      <c r="AK995" s="75"/>
      <c r="AL995" s="75"/>
      <c r="AM995" s="75"/>
      <c r="AN995" s="75"/>
      <c r="AO995" s="76">
        <f t="shared" si="61"/>
        <v>0</v>
      </c>
      <c r="AP995" s="562"/>
    </row>
    <row r="996" spans="2:42" s="83" customFormat="1">
      <c r="B996" s="79" t="s">
        <v>76</v>
      </c>
      <c r="C996" s="79"/>
      <c r="D996" s="81"/>
      <c r="E996" s="81"/>
      <c r="F996" s="81"/>
      <c r="G996" s="81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  <c r="AB996" s="80"/>
      <c r="AC996" s="75"/>
      <c r="AD996" s="75"/>
      <c r="AE996" s="75"/>
      <c r="AF996" s="75"/>
      <c r="AG996" s="166"/>
      <c r="AH996" s="75"/>
      <c r="AI996" s="75"/>
      <c r="AJ996" s="75"/>
      <c r="AK996" s="75"/>
      <c r="AL996" s="75"/>
      <c r="AM996" s="75"/>
      <c r="AN996" s="75"/>
      <c r="AO996" s="76">
        <f t="shared" si="61"/>
        <v>0</v>
      </c>
      <c r="AP996" s="561">
        <f>SUM(AO996:AO1002)</f>
        <v>0</v>
      </c>
    </row>
    <row r="997" spans="2:42" s="83" customFormat="1">
      <c r="B997" s="79" t="s">
        <v>76</v>
      </c>
      <c r="C997" s="79"/>
      <c r="D997" s="81"/>
      <c r="E997" s="81"/>
      <c r="F997" s="81"/>
      <c r="G997" s="81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  <c r="AB997" s="80"/>
      <c r="AC997" s="75"/>
      <c r="AD997" s="75"/>
      <c r="AE997" s="75"/>
      <c r="AF997" s="75"/>
      <c r="AG997" s="166"/>
      <c r="AH997" s="75"/>
      <c r="AI997" s="75"/>
      <c r="AJ997" s="75"/>
      <c r="AK997" s="75"/>
      <c r="AL997" s="75"/>
      <c r="AM997" s="75"/>
      <c r="AN997" s="75"/>
      <c r="AO997" s="76">
        <f t="shared" si="61"/>
        <v>0</v>
      </c>
      <c r="AP997" s="562"/>
    </row>
    <row r="998" spans="2:42" s="83" customFormat="1" ht="15">
      <c r="B998" s="79" t="s">
        <v>76</v>
      </c>
      <c r="C998" s="79"/>
      <c r="D998" s="81"/>
      <c r="E998" s="81"/>
      <c r="F998" s="81"/>
      <c r="G998" s="81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  <c r="AB998" s="80"/>
      <c r="AC998" s="75"/>
      <c r="AD998" s="75"/>
      <c r="AE998" s="75"/>
      <c r="AF998" s="75"/>
      <c r="AG998" s="75"/>
      <c r="AH998" s="75"/>
      <c r="AI998" s="75"/>
      <c r="AJ998" s="75"/>
      <c r="AK998" s="75"/>
      <c r="AL998" s="75"/>
      <c r="AM998" s="75"/>
      <c r="AN998" s="75"/>
      <c r="AO998" s="76">
        <f t="shared" si="61"/>
        <v>0</v>
      </c>
      <c r="AP998" s="562"/>
    </row>
    <row r="999" spans="2:42" s="83" customFormat="1" ht="15">
      <c r="B999" s="79" t="s">
        <v>76</v>
      </c>
      <c r="C999" s="79"/>
      <c r="D999" s="81"/>
      <c r="E999" s="81"/>
      <c r="F999" s="81"/>
      <c r="G999" s="81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  <c r="AA999" s="80"/>
      <c r="AB999" s="80"/>
      <c r="AC999" s="75"/>
      <c r="AD999" s="75"/>
      <c r="AE999" s="75"/>
      <c r="AF999" s="75"/>
      <c r="AG999" s="75"/>
      <c r="AH999" s="75"/>
      <c r="AI999" s="75"/>
      <c r="AJ999" s="75"/>
      <c r="AK999" s="75"/>
      <c r="AL999" s="75"/>
      <c r="AM999" s="75"/>
      <c r="AN999" s="75"/>
      <c r="AO999" s="76">
        <f t="shared" ref="AO999:AO1021" si="62">SUM(I999:AN999)</f>
        <v>0</v>
      </c>
      <c r="AP999" s="562"/>
    </row>
    <row r="1000" spans="2:42" s="83" customFormat="1" ht="15">
      <c r="B1000" s="79" t="s">
        <v>76</v>
      </c>
      <c r="C1000" s="79"/>
      <c r="D1000" s="81"/>
      <c r="E1000" s="81"/>
      <c r="F1000" s="81"/>
      <c r="G1000" s="81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  <c r="AA1000" s="80"/>
      <c r="AB1000" s="80"/>
      <c r="AC1000" s="75"/>
      <c r="AD1000" s="75"/>
      <c r="AE1000" s="75"/>
      <c r="AF1000" s="75"/>
      <c r="AG1000" s="75"/>
      <c r="AH1000" s="75"/>
      <c r="AI1000" s="75"/>
      <c r="AJ1000" s="75"/>
      <c r="AK1000" s="75"/>
      <c r="AL1000" s="75"/>
      <c r="AM1000" s="75"/>
      <c r="AN1000" s="75"/>
      <c r="AO1000" s="76">
        <f t="shared" si="62"/>
        <v>0</v>
      </c>
      <c r="AP1000" s="562"/>
    </row>
    <row r="1001" spans="2:42" s="83" customFormat="1" ht="15">
      <c r="B1001" s="79" t="s">
        <v>76</v>
      </c>
      <c r="C1001" s="79"/>
      <c r="D1001" s="81"/>
      <c r="E1001" s="81"/>
      <c r="F1001" s="81"/>
      <c r="G1001" s="81"/>
      <c r="H1001" s="80"/>
      <c r="I1001" s="80"/>
      <c r="J1001" s="80"/>
      <c r="K1001" s="80"/>
      <c r="L1001" s="80"/>
      <c r="M1001" s="80"/>
      <c r="N1001" s="80"/>
      <c r="O1001" s="80"/>
      <c r="P1001" s="80"/>
      <c r="Q1001" s="80"/>
      <c r="R1001" s="80"/>
      <c r="S1001" s="80"/>
      <c r="T1001" s="80"/>
      <c r="U1001" s="80"/>
      <c r="V1001" s="80"/>
      <c r="W1001" s="80"/>
      <c r="X1001" s="80"/>
      <c r="Y1001" s="80"/>
      <c r="Z1001" s="80"/>
      <c r="AA1001" s="80"/>
      <c r="AB1001" s="80"/>
      <c r="AC1001" s="75"/>
      <c r="AD1001" s="75"/>
      <c r="AE1001" s="75"/>
      <c r="AF1001" s="75"/>
      <c r="AG1001" s="75"/>
      <c r="AH1001" s="75"/>
      <c r="AI1001" s="75"/>
      <c r="AJ1001" s="75"/>
      <c r="AK1001" s="75"/>
      <c r="AL1001" s="75"/>
      <c r="AM1001" s="75"/>
      <c r="AN1001" s="75"/>
      <c r="AO1001" s="76">
        <f t="shared" si="62"/>
        <v>0</v>
      </c>
      <c r="AP1001" s="562"/>
    </row>
    <row r="1002" spans="2:42" s="83" customFormat="1" ht="15.5" thickBot="1">
      <c r="B1002" s="79" t="s">
        <v>76</v>
      </c>
      <c r="C1002" s="79"/>
      <c r="D1002" s="81"/>
      <c r="E1002" s="81"/>
      <c r="F1002" s="81"/>
      <c r="G1002" s="81"/>
      <c r="H1002" s="80"/>
      <c r="I1002" s="80"/>
      <c r="J1002" s="80"/>
      <c r="K1002" s="80"/>
      <c r="L1002" s="80"/>
      <c r="M1002" s="80"/>
      <c r="N1002" s="80"/>
      <c r="O1002" s="80"/>
      <c r="P1002" s="80"/>
      <c r="Q1002" s="80"/>
      <c r="R1002" s="80"/>
      <c r="S1002" s="80"/>
      <c r="T1002" s="80"/>
      <c r="U1002" s="80"/>
      <c r="V1002" s="80"/>
      <c r="W1002" s="80"/>
      <c r="X1002" s="80"/>
      <c r="Y1002" s="80"/>
      <c r="Z1002" s="80"/>
      <c r="AA1002" s="80"/>
      <c r="AB1002" s="80"/>
      <c r="AC1002" s="75"/>
      <c r="AD1002" s="75"/>
      <c r="AE1002" s="75"/>
      <c r="AF1002" s="75"/>
      <c r="AG1002" s="75"/>
      <c r="AH1002" s="75"/>
      <c r="AI1002" s="75"/>
      <c r="AJ1002" s="75"/>
      <c r="AK1002" s="75"/>
      <c r="AL1002" s="75"/>
      <c r="AM1002" s="75"/>
      <c r="AN1002" s="75"/>
      <c r="AO1002" s="76">
        <f t="shared" si="62"/>
        <v>0</v>
      </c>
      <c r="AP1002" s="562"/>
    </row>
    <row r="1003" spans="2:42" s="83" customFormat="1" ht="15">
      <c r="B1003" s="79" t="s">
        <v>76</v>
      </c>
      <c r="C1003" s="79"/>
      <c r="D1003" s="81"/>
      <c r="E1003" s="81"/>
      <c r="F1003" s="81"/>
      <c r="G1003" s="81"/>
      <c r="H1003" s="80"/>
      <c r="I1003" s="80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75"/>
      <c r="AD1003" s="75"/>
      <c r="AE1003" s="75"/>
      <c r="AF1003" s="75"/>
      <c r="AG1003" s="75"/>
      <c r="AH1003" s="75"/>
      <c r="AI1003" s="75"/>
      <c r="AJ1003" s="75"/>
      <c r="AK1003" s="75"/>
      <c r="AL1003" s="75"/>
      <c r="AM1003" s="75"/>
      <c r="AN1003" s="75"/>
      <c r="AO1003" s="76">
        <f t="shared" si="62"/>
        <v>0</v>
      </c>
      <c r="AP1003" s="199"/>
    </row>
    <row r="1004" spans="2:42" s="83" customFormat="1" ht="15">
      <c r="B1004" s="79" t="s">
        <v>76</v>
      </c>
      <c r="C1004" s="79"/>
      <c r="D1004" s="81"/>
      <c r="E1004" s="81"/>
      <c r="F1004" s="81"/>
      <c r="G1004" s="81"/>
      <c r="H1004" s="80"/>
      <c r="I1004" s="80"/>
      <c r="J1004" s="80"/>
      <c r="K1004" s="80"/>
      <c r="L1004" s="80"/>
      <c r="M1004" s="80"/>
      <c r="N1004" s="80"/>
      <c r="O1004" s="80"/>
      <c r="P1004" s="80"/>
      <c r="Q1004" s="80"/>
      <c r="R1004" s="80"/>
      <c r="S1004" s="80"/>
      <c r="T1004" s="80"/>
      <c r="U1004" s="80"/>
      <c r="V1004" s="80"/>
      <c r="W1004" s="80"/>
      <c r="X1004" s="80"/>
      <c r="Y1004" s="80"/>
      <c r="Z1004" s="80"/>
      <c r="AA1004" s="80"/>
      <c r="AB1004" s="80"/>
      <c r="AC1004" s="75"/>
      <c r="AD1004" s="75"/>
      <c r="AE1004" s="75"/>
      <c r="AF1004" s="75"/>
      <c r="AG1004" s="75"/>
      <c r="AH1004" s="75"/>
      <c r="AI1004" s="75"/>
      <c r="AJ1004" s="75"/>
      <c r="AK1004" s="75"/>
      <c r="AL1004" s="75"/>
      <c r="AM1004" s="75"/>
      <c r="AN1004" s="75"/>
      <c r="AO1004" s="76">
        <f t="shared" ref="AO1004:AO1009" si="63">SUM(I1004:AN1004)</f>
        <v>0</v>
      </c>
      <c r="AP1004" s="191"/>
    </row>
    <row r="1005" spans="2:42" s="83" customFormat="1" ht="15">
      <c r="B1005" s="79" t="s">
        <v>76</v>
      </c>
      <c r="C1005" s="79"/>
      <c r="D1005" s="81"/>
      <c r="E1005" s="81"/>
      <c r="F1005" s="81"/>
      <c r="G1005" s="81"/>
      <c r="H1005" s="80"/>
      <c r="I1005" s="80"/>
      <c r="J1005" s="80"/>
      <c r="K1005" s="80"/>
      <c r="L1005" s="80"/>
      <c r="M1005" s="80"/>
      <c r="N1005" s="80"/>
      <c r="O1005" s="80"/>
      <c r="P1005" s="80"/>
      <c r="Q1005" s="80"/>
      <c r="R1005" s="80"/>
      <c r="S1005" s="80"/>
      <c r="T1005" s="80"/>
      <c r="U1005" s="80"/>
      <c r="V1005" s="80"/>
      <c r="W1005" s="80"/>
      <c r="X1005" s="80"/>
      <c r="Y1005" s="80"/>
      <c r="Z1005" s="80"/>
      <c r="AA1005" s="80"/>
      <c r="AB1005" s="80"/>
      <c r="AC1005" s="75"/>
      <c r="AD1005" s="75"/>
      <c r="AE1005" s="75"/>
      <c r="AF1005" s="75"/>
      <c r="AG1005" s="75"/>
      <c r="AH1005" s="75"/>
      <c r="AI1005" s="75"/>
      <c r="AJ1005" s="75"/>
      <c r="AK1005" s="75"/>
      <c r="AL1005" s="75"/>
      <c r="AM1005" s="75"/>
      <c r="AN1005" s="75"/>
      <c r="AO1005" s="76">
        <f t="shared" si="63"/>
        <v>0</v>
      </c>
      <c r="AP1005" s="191"/>
    </row>
    <row r="1006" spans="2:42" s="83" customFormat="1" ht="15">
      <c r="B1006" s="79" t="s">
        <v>76</v>
      </c>
      <c r="C1006" s="79"/>
      <c r="D1006" s="81"/>
      <c r="E1006" s="81"/>
      <c r="F1006" s="81"/>
      <c r="G1006" s="81"/>
      <c r="H1006" s="80"/>
      <c r="I1006" s="80"/>
      <c r="J1006" s="80"/>
      <c r="K1006" s="80"/>
      <c r="L1006" s="80"/>
      <c r="M1006" s="80"/>
      <c r="N1006" s="80"/>
      <c r="O1006" s="80"/>
      <c r="P1006" s="80"/>
      <c r="Q1006" s="80"/>
      <c r="R1006" s="80"/>
      <c r="S1006" s="80"/>
      <c r="T1006" s="80"/>
      <c r="U1006" s="80"/>
      <c r="V1006" s="80"/>
      <c r="W1006" s="80"/>
      <c r="X1006" s="80"/>
      <c r="Y1006" s="80"/>
      <c r="Z1006" s="80"/>
      <c r="AA1006" s="80"/>
      <c r="AB1006" s="80"/>
      <c r="AC1006" s="75"/>
      <c r="AD1006" s="75"/>
      <c r="AE1006" s="75"/>
      <c r="AF1006" s="75"/>
      <c r="AG1006" s="75"/>
      <c r="AH1006" s="75"/>
      <c r="AI1006" s="75"/>
      <c r="AJ1006" s="75"/>
      <c r="AK1006" s="75"/>
      <c r="AL1006" s="75"/>
      <c r="AM1006" s="75"/>
      <c r="AN1006" s="75"/>
      <c r="AO1006" s="76">
        <f t="shared" si="63"/>
        <v>0</v>
      </c>
      <c r="AP1006" s="191"/>
    </row>
    <row r="1007" spans="2:42" s="83" customFormat="1" ht="15">
      <c r="B1007" s="79" t="s">
        <v>76</v>
      </c>
      <c r="C1007" s="79"/>
      <c r="D1007" s="81"/>
      <c r="E1007" s="81"/>
      <c r="F1007" s="81"/>
      <c r="G1007" s="81"/>
      <c r="H1007" s="80"/>
      <c r="I1007" s="80"/>
      <c r="J1007" s="80"/>
      <c r="K1007" s="80"/>
      <c r="L1007" s="80"/>
      <c r="M1007" s="80"/>
      <c r="N1007" s="80"/>
      <c r="O1007" s="80"/>
      <c r="P1007" s="80"/>
      <c r="Q1007" s="80"/>
      <c r="R1007" s="80"/>
      <c r="S1007" s="80"/>
      <c r="T1007" s="80"/>
      <c r="U1007" s="80"/>
      <c r="V1007" s="80"/>
      <c r="W1007" s="80"/>
      <c r="X1007" s="80"/>
      <c r="Y1007" s="80"/>
      <c r="Z1007" s="80"/>
      <c r="AA1007" s="80"/>
      <c r="AB1007" s="80"/>
      <c r="AC1007" s="75"/>
      <c r="AD1007" s="75"/>
      <c r="AE1007" s="75"/>
      <c r="AF1007" s="75"/>
      <c r="AG1007" s="75"/>
      <c r="AH1007" s="75"/>
      <c r="AI1007" s="75"/>
      <c r="AJ1007" s="75"/>
      <c r="AK1007" s="75"/>
      <c r="AL1007" s="75"/>
      <c r="AM1007" s="75"/>
      <c r="AN1007" s="75"/>
      <c r="AO1007" s="76">
        <f t="shared" si="63"/>
        <v>0</v>
      </c>
      <c r="AP1007" s="191"/>
    </row>
    <row r="1008" spans="2:42" s="83" customFormat="1" ht="15">
      <c r="B1008" s="79" t="s">
        <v>76</v>
      </c>
      <c r="C1008" s="79"/>
      <c r="D1008" s="81"/>
      <c r="E1008" s="81"/>
      <c r="F1008" s="81"/>
      <c r="G1008" s="81"/>
      <c r="H1008" s="80"/>
      <c r="I1008" s="80"/>
      <c r="J1008" s="80"/>
      <c r="K1008" s="80"/>
      <c r="L1008" s="80"/>
      <c r="M1008" s="80"/>
      <c r="N1008" s="80"/>
      <c r="O1008" s="80"/>
      <c r="P1008" s="80"/>
      <c r="Q1008" s="80"/>
      <c r="R1008" s="80"/>
      <c r="S1008" s="80"/>
      <c r="T1008" s="80"/>
      <c r="U1008" s="80"/>
      <c r="V1008" s="80"/>
      <c r="W1008" s="80"/>
      <c r="X1008" s="80"/>
      <c r="Y1008" s="80"/>
      <c r="Z1008" s="80"/>
      <c r="AA1008" s="80"/>
      <c r="AB1008" s="80"/>
      <c r="AC1008" s="75"/>
      <c r="AD1008" s="75"/>
      <c r="AE1008" s="75"/>
      <c r="AF1008" s="75"/>
      <c r="AG1008" s="75"/>
      <c r="AH1008" s="75"/>
      <c r="AI1008" s="75"/>
      <c r="AJ1008" s="75"/>
      <c r="AK1008" s="75"/>
      <c r="AL1008" s="75"/>
      <c r="AM1008" s="75"/>
      <c r="AN1008" s="75"/>
      <c r="AO1008" s="76">
        <f t="shared" si="63"/>
        <v>0</v>
      </c>
      <c r="AP1008" s="191"/>
    </row>
    <row r="1009" spans="2:42" s="83" customFormat="1" ht="15">
      <c r="B1009" s="79" t="s">
        <v>76</v>
      </c>
      <c r="C1009" s="79"/>
      <c r="D1009" s="81"/>
      <c r="E1009" s="81"/>
      <c r="F1009" s="81"/>
      <c r="G1009" s="81"/>
      <c r="H1009" s="80"/>
      <c r="I1009" s="80"/>
      <c r="J1009" s="80"/>
      <c r="K1009" s="80"/>
      <c r="L1009" s="80"/>
      <c r="M1009" s="80"/>
      <c r="N1009" s="80"/>
      <c r="O1009" s="80"/>
      <c r="P1009" s="80"/>
      <c r="Q1009" s="80"/>
      <c r="R1009" s="80"/>
      <c r="S1009" s="80"/>
      <c r="T1009" s="80"/>
      <c r="U1009" s="80"/>
      <c r="V1009" s="80"/>
      <c r="W1009" s="80"/>
      <c r="X1009" s="80"/>
      <c r="Y1009" s="80"/>
      <c r="Z1009" s="80"/>
      <c r="AA1009" s="80"/>
      <c r="AB1009" s="80"/>
      <c r="AC1009" s="75"/>
      <c r="AD1009" s="75"/>
      <c r="AE1009" s="75"/>
      <c r="AF1009" s="75"/>
      <c r="AG1009" s="75"/>
      <c r="AH1009" s="75"/>
      <c r="AI1009" s="75"/>
      <c r="AJ1009" s="75"/>
      <c r="AK1009" s="75"/>
      <c r="AL1009" s="75"/>
      <c r="AM1009" s="75"/>
      <c r="AN1009" s="75"/>
      <c r="AO1009" s="76">
        <f t="shared" si="63"/>
        <v>0</v>
      </c>
      <c r="AP1009" s="191"/>
    </row>
    <row r="1010" spans="2:42" s="83" customFormat="1" ht="15">
      <c r="B1010" s="79" t="s">
        <v>76</v>
      </c>
      <c r="C1010" s="79"/>
      <c r="D1010" s="81"/>
      <c r="E1010" s="81"/>
      <c r="F1010" s="81"/>
      <c r="G1010" s="81"/>
      <c r="H1010" s="80"/>
      <c r="I1010" s="80"/>
      <c r="J1010" s="80"/>
      <c r="K1010" s="80"/>
      <c r="L1010" s="80"/>
      <c r="M1010" s="80"/>
      <c r="N1010" s="80"/>
      <c r="O1010" s="80"/>
      <c r="P1010" s="80"/>
      <c r="Q1010" s="80"/>
      <c r="R1010" s="80"/>
      <c r="S1010" s="80"/>
      <c r="T1010" s="80"/>
      <c r="U1010" s="80"/>
      <c r="V1010" s="80"/>
      <c r="W1010" s="80"/>
      <c r="X1010" s="80"/>
      <c r="Y1010" s="80"/>
      <c r="Z1010" s="80"/>
      <c r="AA1010" s="80"/>
      <c r="AB1010" s="80"/>
      <c r="AC1010" s="75"/>
      <c r="AD1010" s="75"/>
      <c r="AE1010" s="75"/>
      <c r="AF1010" s="75"/>
      <c r="AG1010" s="75"/>
      <c r="AH1010" s="75"/>
      <c r="AI1010" s="75"/>
      <c r="AJ1010" s="75"/>
      <c r="AK1010" s="75"/>
      <c r="AL1010" s="75"/>
      <c r="AM1010" s="75"/>
      <c r="AN1010" s="75"/>
      <c r="AO1010" s="76">
        <f>SUM(I1010:AN1010)</f>
        <v>0</v>
      </c>
      <c r="AP1010" s="191"/>
    </row>
    <row r="1011" spans="2:42" s="83" customFormat="1" ht="15">
      <c r="B1011" s="79" t="s">
        <v>76</v>
      </c>
      <c r="C1011" s="79"/>
      <c r="D1011" s="81"/>
      <c r="E1011" s="81"/>
      <c r="F1011" s="81"/>
      <c r="G1011" s="81"/>
      <c r="H1011" s="80"/>
      <c r="I1011" s="80"/>
      <c r="J1011" s="80"/>
      <c r="K1011" s="80"/>
      <c r="L1011" s="80"/>
      <c r="M1011" s="80"/>
      <c r="N1011" s="80"/>
      <c r="O1011" s="80"/>
      <c r="P1011" s="80"/>
      <c r="Q1011" s="80"/>
      <c r="R1011" s="80"/>
      <c r="S1011" s="80"/>
      <c r="T1011" s="80"/>
      <c r="U1011" s="80"/>
      <c r="V1011" s="80"/>
      <c r="W1011" s="80"/>
      <c r="X1011" s="80"/>
      <c r="Y1011" s="80"/>
      <c r="Z1011" s="80"/>
      <c r="AA1011" s="80"/>
      <c r="AB1011" s="80"/>
      <c r="AC1011" s="75"/>
      <c r="AD1011" s="75"/>
      <c r="AE1011" s="75"/>
      <c r="AF1011" s="75"/>
      <c r="AG1011" s="75"/>
      <c r="AH1011" s="75"/>
      <c r="AI1011" s="75"/>
      <c r="AJ1011" s="75"/>
      <c r="AK1011" s="75"/>
      <c r="AL1011" s="75"/>
      <c r="AM1011" s="75"/>
      <c r="AN1011" s="75"/>
      <c r="AO1011" s="76">
        <f>SUM(I1011:AN1011)</f>
        <v>0</v>
      </c>
      <c r="AP1011" s="191"/>
    </row>
    <row r="1012" spans="2:42" s="83" customFormat="1" ht="15">
      <c r="B1012" s="79" t="s">
        <v>76</v>
      </c>
      <c r="C1012" s="79"/>
      <c r="D1012" s="81"/>
      <c r="E1012" s="81"/>
      <c r="F1012" s="81"/>
      <c r="G1012" s="81"/>
      <c r="H1012" s="80"/>
      <c r="I1012" s="80"/>
      <c r="J1012" s="80"/>
      <c r="K1012" s="80"/>
      <c r="L1012" s="80"/>
      <c r="M1012" s="80"/>
      <c r="N1012" s="80"/>
      <c r="O1012" s="80"/>
      <c r="P1012" s="80"/>
      <c r="Q1012" s="80"/>
      <c r="R1012" s="80"/>
      <c r="S1012" s="80"/>
      <c r="T1012" s="80"/>
      <c r="U1012" s="80"/>
      <c r="V1012" s="80"/>
      <c r="W1012" s="80"/>
      <c r="X1012" s="80"/>
      <c r="Y1012" s="80"/>
      <c r="Z1012" s="80"/>
      <c r="AA1012" s="80"/>
      <c r="AB1012" s="80"/>
      <c r="AC1012" s="75"/>
      <c r="AD1012" s="75"/>
      <c r="AE1012" s="75"/>
      <c r="AF1012" s="75"/>
      <c r="AG1012" s="75"/>
      <c r="AH1012" s="75"/>
      <c r="AI1012" s="75"/>
      <c r="AJ1012" s="75"/>
      <c r="AK1012" s="75"/>
      <c r="AL1012" s="75"/>
      <c r="AM1012" s="75"/>
      <c r="AN1012" s="75"/>
      <c r="AO1012" s="76">
        <f>SUM(I1012:AN1012)</f>
        <v>0</v>
      </c>
      <c r="AP1012" s="191"/>
    </row>
    <row r="1013" spans="2:42" s="83" customFormat="1" ht="15">
      <c r="B1013" s="79" t="s">
        <v>76</v>
      </c>
      <c r="C1013" s="79"/>
      <c r="D1013" s="81"/>
      <c r="E1013" s="81"/>
      <c r="F1013" s="81"/>
      <c r="G1013" s="81"/>
      <c r="H1013" s="80"/>
      <c r="I1013" s="80"/>
      <c r="J1013" s="80"/>
      <c r="K1013" s="80"/>
      <c r="L1013" s="80"/>
      <c r="M1013" s="80"/>
      <c r="N1013" s="80"/>
      <c r="O1013" s="80"/>
      <c r="P1013" s="80"/>
      <c r="Q1013" s="80"/>
      <c r="R1013" s="80"/>
      <c r="S1013" s="80"/>
      <c r="T1013" s="80"/>
      <c r="U1013" s="80"/>
      <c r="V1013" s="80"/>
      <c r="W1013" s="80"/>
      <c r="X1013" s="80"/>
      <c r="Y1013" s="80"/>
      <c r="Z1013" s="80"/>
      <c r="AA1013" s="80"/>
      <c r="AB1013" s="80"/>
      <c r="AC1013" s="75"/>
      <c r="AD1013" s="75"/>
      <c r="AE1013" s="75"/>
      <c r="AF1013" s="75"/>
      <c r="AG1013" s="75"/>
      <c r="AH1013" s="75"/>
      <c r="AI1013" s="75"/>
      <c r="AJ1013" s="75"/>
      <c r="AK1013" s="75"/>
      <c r="AL1013" s="75"/>
      <c r="AM1013" s="75"/>
      <c r="AN1013" s="75"/>
      <c r="AO1013" s="76">
        <f>SUM(I1013:AN1013)</f>
        <v>0</v>
      </c>
      <c r="AP1013" s="191"/>
    </row>
    <row r="1014" spans="2:42" s="83" customFormat="1" ht="15">
      <c r="B1014" s="79" t="s">
        <v>76</v>
      </c>
      <c r="C1014" s="79"/>
      <c r="D1014" s="81"/>
      <c r="E1014" s="81"/>
      <c r="F1014" s="81"/>
      <c r="G1014" s="81"/>
      <c r="H1014" s="80"/>
      <c r="I1014" s="80"/>
      <c r="J1014" s="80"/>
      <c r="K1014" s="80"/>
      <c r="L1014" s="80"/>
      <c r="M1014" s="80"/>
      <c r="N1014" s="80"/>
      <c r="O1014" s="80"/>
      <c r="P1014" s="80"/>
      <c r="Q1014" s="80"/>
      <c r="R1014" s="80"/>
      <c r="S1014" s="80"/>
      <c r="T1014" s="80"/>
      <c r="U1014" s="80"/>
      <c r="V1014" s="80"/>
      <c r="W1014" s="80"/>
      <c r="X1014" s="80"/>
      <c r="Y1014" s="80"/>
      <c r="Z1014" s="80"/>
      <c r="AA1014" s="80"/>
      <c r="AB1014" s="80"/>
      <c r="AC1014" s="75"/>
      <c r="AD1014" s="75"/>
      <c r="AE1014" s="75"/>
      <c r="AF1014" s="75"/>
      <c r="AG1014" s="75"/>
      <c r="AH1014" s="75"/>
      <c r="AI1014" s="75"/>
      <c r="AJ1014" s="75"/>
      <c r="AK1014" s="75"/>
      <c r="AL1014" s="75"/>
      <c r="AM1014" s="75"/>
      <c r="AN1014" s="75"/>
      <c r="AO1014" s="76">
        <f>SUM(I1014:AN1014)</f>
        <v>0</v>
      </c>
      <c r="AP1014" s="191"/>
    </row>
    <row r="1015" spans="2:42" s="83" customFormat="1" ht="15">
      <c r="B1015" s="79" t="s">
        <v>76</v>
      </c>
      <c r="C1015" s="79"/>
      <c r="D1015" s="81"/>
      <c r="E1015" s="81"/>
      <c r="F1015" s="81"/>
      <c r="G1015" s="81"/>
      <c r="H1015" s="80"/>
      <c r="I1015" s="80"/>
      <c r="J1015" s="80"/>
      <c r="K1015" s="80"/>
      <c r="L1015" s="80"/>
      <c r="M1015" s="80"/>
      <c r="N1015" s="80"/>
      <c r="O1015" s="80"/>
      <c r="P1015" s="80"/>
      <c r="Q1015" s="80"/>
      <c r="R1015" s="80"/>
      <c r="S1015" s="80"/>
      <c r="T1015" s="80"/>
      <c r="U1015" s="80"/>
      <c r="V1015" s="80"/>
      <c r="W1015" s="80"/>
      <c r="X1015" s="80"/>
      <c r="Y1015" s="80"/>
      <c r="Z1015" s="80"/>
      <c r="AA1015" s="80"/>
      <c r="AB1015" s="80"/>
      <c r="AC1015" s="75"/>
      <c r="AD1015" s="75"/>
      <c r="AE1015" s="75"/>
      <c r="AF1015" s="75"/>
      <c r="AG1015" s="75"/>
      <c r="AH1015" s="75"/>
      <c r="AI1015" s="75"/>
      <c r="AJ1015" s="75"/>
      <c r="AK1015" s="75"/>
      <c r="AL1015" s="75"/>
      <c r="AM1015" s="75"/>
      <c r="AN1015" s="75"/>
      <c r="AO1015" s="76">
        <f t="shared" si="62"/>
        <v>0</v>
      </c>
      <c r="AP1015" s="191"/>
    </row>
    <row r="1016" spans="2:42" s="83" customFormat="1" ht="15">
      <c r="B1016" s="79" t="s">
        <v>76</v>
      </c>
      <c r="C1016" s="79"/>
      <c r="D1016" s="81"/>
      <c r="E1016" s="81"/>
      <c r="F1016" s="81"/>
      <c r="G1016" s="81"/>
      <c r="H1016" s="80"/>
      <c r="I1016" s="80"/>
      <c r="J1016" s="80"/>
      <c r="K1016" s="80"/>
      <c r="L1016" s="80"/>
      <c r="M1016" s="80"/>
      <c r="N1016" s="80"/>
      <c r="O1016" s="80"/>
      <c r="P1016" s="80"/>
      <c r="Q1016" s="80"/>
      <c r="R1016" s="80"/>
      <c r="S1016" s="80"/>
      <c r="T1016" s="80"/>
      <c r="U1016" s="80"/>
      <c r="V1016" s="80"/>
      <c r="W1016" s="80"/>
      <c r="X1016" s="80"/>
      <c r="Y1016" s="80"/>
      <c r="Z1016" s="80"/>
      <c r="AA1016" s="80"/>
      <c r="AB1016" s="80"/>
      <c r="AC1016" s="75"/>
      <c r="AD1016" s="75"/>
      <c r="AE1016" s="75"/>
      <c r="AF1016" s="75"/>
      <c r="AG1016" s="75"/>
      <c r="AH1016" s="75"/>
      <c r="AI1016" s="75"/>
      <c r="AJ1016" s="75"/>
      <c r="AK1016" s="75"/>
      <c r="AL1016" s="75"/>
      <c r="AM1016" s="75"/>
      <c r="AN1016" s="75"/>
      <c r="AO1016" s="76">
        <f t="shared" si="62"/>
        <v>0</v>
      </c>
      <c r="AP1016" s="191"/>
    </row>
    <row r="1017" spans="2:42" s="83" customFormat="1" ht="15">
      <c r="B1017" s="79" t="s">
        <v>76</v>
      </c>
      <c r="C1017" s="79"/>
      <c r="D1017" s="81"/>
      <c r="E1017" s="81"/>
      <c r="F1017" s="81"/>
      <c r="G1017" s="81"/>
      <c r="H1017" s="80"/>
      <c r="I1017" s="80"/>
      <c r="J1017" s="80"/>
      <c r="K1017" s="80"/>
      <c r="L1017" s="80"/>
      <c r="M1017" s="80"/>
      <c r="N1017" s="80"/>
      <c r="O1017" s="80"/>
      <c r="P1017" s="80"/>
      <c r="Q1017" s="80"/>
      <c r="R1017" s="80"/>
      <c r="S1017" s="80"/>
      <c r="T1017" s="80"/>
      <c r="U1017" s="80"/>
      <c r="V1017" s="80"/>
      <c r="W1017" s="80"/>
      <c r="X1017" s="80"/>
      <c r="Y1017" s="80"/>
      <c r="Z1017" s="80"/>
      <c r="AA1017" s="80"/>
      <c r="AB1017" s="80"/>
      <c r="AC1017" s="75"/>
      <c r="AD1017" s="75"/>
      <c r="AE1017" s="75"/>
      <c r="AF1017" s="75"/>
      <c r="AG1017" s="75"/>
      <c r="AH1017" s="75"/>
      <c r="AI1017" s="75"/>
      <c r="AJ1017" s="75"/>
      <c r="AK1017" s="75"/>
      <c r="AL1017" s="75"/>
      <c r="AM1017" s="75"/>
      <c r="AN1017" s="75"/>
      <c r="AO1017" s="76">
        <f t="shared" si="62"/>
        <v>0</v>
      </c>
      <c r="AP1017" s="191"/>
    </row>
    <row r="1018" spans="2:42" s="83" customFormat="1" ht="15">
      <c r="B1018" s="79" t="s">
        <v>76</v>
      </c>
      <c r="C1018" s="79"/>
      <c r="D1018" s="81"/>
      <c r="E1018" s="81"/>
      <c r="F1018" s="81"/>
      <c r="G1018" s="81"/>
      <c r="H1018" s="80"/>
      <c r="I1018" s="80"/>
      <c r="J1018" s="80"/>
      <c r="K1018" s="80"/>
      <c r="L1018" s="80"/>
      <c r="M1018" s="80"/>
      <c r="N1018" s="80"/>
      <c r="O1018" s="80"/>
      <c r="P1018" s="80"/>
      <c r="Q1018" s="80"/>
      <c r="R1018" s="80"/>
      <c r="S1018" s="80"/>
      <c r="T1018" s="80"/>
      <c r="U1018" s="80"/>
      <c r="V1018" s="80"/>
      <c r="W1018" s="80"/>
      <c r="X1018" s="80"/>
      <c r="Y1018" s="80"/>
      <c r="Z1018" s="80"/>
      <c r="AA1018" s="80"/>
      <c r="AB1018" s="80"/>
      <c r="AC1018" s="75"/>
      <c r="AD1018" s="75"/>
      <c r="AE1018" s="75"/>
      <c r="AF1018" s="75"/>
      <c r="AG1018" s="75"/>
      <c r="AH1018" s="75"/>
      <c r="AI1018" s="75"/>
      <c r="AJ1018" s="75"/>
      <c r="AK1018" s="75"/>
      <c r="AL1018" s="75"/>
      <c r="AM1018" s="75"/>
      <c r="AN1018" s="75"/>
      <c r="AO1018" s="76">
        <f t="shared" si="62"/>
        <v>0</v>
      </c>
      <c r="AP1018" s="191"/>
    </row>
    <row r="1019" spans="2:42" s="83" customFormat="1">
      <c r="B1019" s="79" t="s">
        <v>76</v>
      </c>
      <c r="C1019" s="79"/>
      <c r="D1019" s="81"/>
      <c r="E1019" s="81"/>
      <c r="F1019" s="81"/>
      <c r="G1019" s="81"/>
      <c r="H1019" s="80"/>
      <c r="I1019" s="80"/>
      <c r="J1019" s="80"/>
      <c r="K1019" s="80"/>
      <c r="L1019" s="80"/>
      <c r="M1019" s="80"/>
      <c r="N1019" s="80"/>
      <c r="O1019" s="80"/>
      <c r="P1019" s="80"/>
      <c r="Q1019" s="80"/>
      <c r="R1019" s="80"/>
      <c r="S1019" s="80"/>
      <c r="T1019" s="80"/>
      <c r="U1019" s="80"/>
      <c r="V1019" s="80"/>
      <c r="W1019" s="80"/>
      <c r="X1019" s="80"/>
      <c r="Y1019" s="80"/>
      <c r="Z1019" s="80"/>
      <c r="AA1019" s="80"/>
      <c r="AB1019" s="80"/>
      <c r="AC1019" s="75"/>
      <c r="AD1019" s="75"/>
      <c r="AE1019" s="75"/>
      <c r="AF1019" s="75"/>
      <c r="AG1019" s="166"/>
      <c r="AH1019" s="75"/>
      <c r="AI1019" s="75"/>
      <c r="AJ1019" s="75"/>
      <c r="AK1019" s="75"/>
      <c r="AL1019" s="75"/>
      <c r="AM1019" s="75"/>
      <c r="AN1019" s="75"/>
      <c r="AO1019" s="76">
        <f t="shared" si="62"/>
        <v>0</v>
      </c>
      <c r="AP1019" s="191"/>
    </row>
    <row r="1020" spans="2:42" s="83" customFormat="1">
      <c r="B1020" s="79" t="s">
        <v>76</v>
      </c>
      <c r="C1020" s="79"/>
      <c r="D1020" s="81"/>
      <c r="E1020" s="81"/>
      <c r="F1020" s="81"/>
      <c r="G1020" s="81"/>
      <c r="H1020" s="80"/>
      <c r="I1020" s="80"/>
      <c r="J1020" s="80"/>
      <c r="K1020" s="80"/>
      <c r="L1020" s="80"/>
      <c r="M1020" s="80"/>
      <c r="N1020" s="80"/>
      <c r="O1020" s="80"/>
      <c r="P1020" s="80"/>
      <c r="Q1020" s="80"/>
      <c r="R1020" s="80"/>
      <c r="S1020" s="80"/>
      <c r="T1020" s="80"/>
      <c r="U1020" s="80"/>
      <c r="V1020" s="80"/>
      <c r="W1020" s="80"/>
      <c r="X1020" s="80"/>
      <c r="Y1020" s="80"/>
      <c r="Z1020" s="80"/>
      <c r="AA1020" s="80"/>
      <c r="AB1020" s="80"/>
      <c r="AC1020" s="75"/>
      <c r="AD1020" s="75"/>
      <c r="AE1020" s="75"/>
      <c r="AF1020" s="75"/>
      <c r="AG1020" s="166"/>
      <c r="AH1020" s="75"/>
      <c r="AI1020" s="75"/>
      <c r="AJ1020" s="75"/>
      <c r="AK1020" s="75"/>
      <c r="AL1020" s="75"/>
      <c r="AM1020" s="75"/>
      <c r="AN1020" s="75"/>
      <c r="AO1020" s="76">
        <f t="shared" si="62"/>
        <v>0</v>
      </c>
      <c r="AP1020" s="191"/>
    </row>
    <row r="1021" spans="2:42" s="83" customFormat="1">
      <c r="B1021" s="79" t="s">
        <v>76</v>
      </c>
      <c r="C1021" s="79"/>
      <c r="D1021" s="81"/>
      <c r="E1021" s="81"/>
      <c r="F1021" s="81"/>
      <c r="G1021" s="81"/>
      <c r="H1021" s="80"/>
      <c r="I1021" s="80"/>
      <c r="J1021" s="80"/>
      <c r="K1021" s="80"/>
      <c r="L1021" s="80"/>
      <c r="M1021" s="80"/>
      <c r="N1021" s="80"/>
      <c r="O1021" s="80"/>
      <c r="P1021" s="80"/>
      <c r="Q1021" s="80"/>
      <c r="R1021" s="80"/>
      <c r="S1021" s="80"/>
      <c r="T1021" s="80"/>
      <c r="U1021" s="80"/>
      <c r="V1021" s="80"/>
      <c r="W1021" s="80"/>
      <c r="X1021" s="80"/>
      <c r="Y1021" s="80"/>
      <c r="Z1021" s="80"/>
      <c r="AA1021" s="80"/>
      <c r="AB1021" s="80"/>
      <c r="AC1021" s="75"/>
      <c r="AD1021" s="75"/>
      <c r="AE1021" s="75"/>
      <c r="AF1021" s="75"/>
      <c r="AG1021" s="166"/>
      <c r="AH1021" s="75"/>
      <c r="AI1021" s="75"/>
      <c r="AJ1021" s="75"/>
      <c r="AK1021" s="75"/>
      <c r="AL1021" s="75"/>
      <c r="AM1021" s="75"/>
      <c r="AN1021" s="75"/>
      <c r="AO1021" s="76">
        <f t="shared" si="62"/>
        <v>0</v>
      </c>
      <c r="AP1021" s="191"/>
    </row>
    <row r="1022" spans="2:42" s="83" customFormat="1">
      <c r="B1022" s="79" t="s">
        <v>76</v>
      </c>
      <c r="C1022" s="82"/>
      <c r="D1022" s="81"/>
      <c r="E1022" s="81"/>
      <c r="F1022" s="81"/>
      <c r="G1022" s="81"/>
      <c r="H1022" s="80"/>
      <c r="I1022" s="80"/>
      <c r="J1022" s="80"/>
      <c r="K1022" s="80"/>
      <c r="L1022" s="80"/>
      <c r="M1022" s="80"/>
      <c r="N1022" s="80"/>
      <c r="O1022" s="80"/>
      <c r="P1022" s="80"/>
      <c r="Q1022" s="80"/>
      <c r="R1022" s="80"/>
      <c r="S1022" s="80"/>
      <c r="T1022" s="80"/>
      <c r="U1022" s="80"/>
      <c r="V1022" s="80"/>
      <c r="W1022" s="80"/>
      <c r="X1022" s="80"/>
      <c r="Y1022" s="80"/>
      <c r="Z1022" s="80"/>
      <c r="AA1022" s="80"/>
      <c r="AB1022" s="80"/>
      <c r="AC1022" s="75"/>
      <c r="AD1022" s="75"/>
      <c r="AE1022" s="75"/>
      <c r="AF1022" s="75"/>
      <c r="AG1022" s="166"/>
      <c r="AH1022" s="75"/>
      <c r="AI1022" s="75"/>
      <c r="AJ1022" s="75"/>
      <c r="AK1022" s="75"/>
      <c r="AL1022" s="75"/>
      <c r="AM1022" s="75"/>
      <c r="AN1022" s="75"/>
      <c r="AO1022" s="76">
        <f>SUM(I1022:AN1022)</f>
        <v>0</v>
      </c>
      <c r="AP1022" s="191"/>
    </row>
    <row r="1023" spans="2:42" s="83" customFormat="1">
      <c r="B1023" s="79" t="s">
        <v>76</v>
      </c>
      <c r="C1023" s="82"/>
      <c r="D1023" s="81"/>
      <c r="E1023" s="81"/>
      <c r="F1023" s="81"/>
      <c r="G1023" s="81"/>
      <c r="H1023" s="80"/>
      <c r="I1023" s="80"/>
      <c r="J1023" s="80"/>
      <c r="K1023" s="80"/>
      <c r="L1023" s="80"/>
      <c r="M1023" s="80"/>
      <c r="N1023" s="80"/>
      <c r="O1023" s="80"/>
      <c r="P1023" s="80"/>
      <c r="Q1023" s="80"/>
      <c r="R1023" s="80"/>
      <c r="S1023" s="80"/>
      <c r="T1023" s="80"/>
      <c r="U1023" s="80"/>
      <c r="V1023" s="80"/>
      <c r="W1023" s="80"/>
      <c r="X1023" s="80"/>
      <c r="Y1023" s="80"/>
      <c r="Z1023" s="80"/>
      <c r="AA1023" s="80"/>
      <c r="AB1023" s="80"/>
      <c r="AC1023" s="75"/>
      <c r="AD1023" s="75"/>
      <c r="AE1023" s="75"/>
      <c r="AF1023" s="75"/>
      <c r="AG1023" s="166"/>
      <c r="AH1023" s="75"/>
      <c r="AI1023" s="75"/>
      <c r="AJ1023" s="75"/>
      <c r="AK1023" s="75"/>
      <c r="AL1023" s="75"/>
      <c r="AM1023" s="75"/>
      <c r="AN1023" s="75"/>
      <c r="AO1023" s="76">
        <f>SUM(I1023:AN1023)</f>
        <v>0</v>
      </c>
      <c r="AP1023" s="191"/>
    </row>
    <row r="1024" spans="2:42" s="83" customFormat="1" ht="16.5" thickBot="1">
      <c r="B1024" s="79" t="s">
        <v>76</v>
      </c>
      <c r="C1024" s="82"/>
      <c r="D1024" s="81"/>
      <c r="E1024" s="81"/>
      <c r="F1024" s="81"/>
      <c r="G1024" s="81"/>
      <c r="H1024" s="80"/>
      <c r="I1024" s="80"/>
      <c r="J1024" s="80"/>
      <c r="K1024" s="80"/>
      <c r="L1024" s="80"/>
      <c r="M1024" s="80"/>
      <c r="N1024" s="80"/>
      <c r="O1024" s="80"/>
      <c r="P1024" s="80"/>
      <c r="Q1024" s="80"/>
      <c r="R1024" s="80"/>
      <c r="S1024" s="80"/>
      <c r="T1024" s="80"/>
      <c r="U1024" s="80"/>
      <c r="V1024" s="80"/>
      <c r="W1024" s="80"/>
      <c r="X1024" s="80"/>
      <c r="Y1024" s="80"/>
      <c r="Z1024" s="80"/>
      <c r="AA1024" s="80"/>
      <c r="AB1024" s="80"/>
      <c r="AC1024" s="75"/>
      <c r="AD1024" s="75"/>
      <c r="AE1024" s="75"/>
      <c r="AF1024" s="75"/>
      <c r="AG1024" s="166"/>
      <c r="AH1024" s="75"/>
      <c r="AI1024" s="75"/>
      <c r="AJ1024" s="75"/>
      <c r="AK1024" s="75"/>
      <c r="AL1024" s="75"/>
      <c r="AM1024" s="75"/>
      <c r="AN1024" s="75"/>
      <c r="AO1024" s="76">
        <f>SUM(I1024:AN1024)</f>
        <v>0</v>
      </c>
      <c r="AP1024" s="231"/>
    </row>
    <row r="1025" spans="2:42" s="83" customFormat="1">
      <c r="B1025" s="79" t="s">
        <v>76</v>
      </c>
      <c r="C1025" s="82"/>
      <c r="D1025" s="81"/>
      <c r="E1025" s="81"/>
      <c r="F1025" s="81"/>
      <c r="G1025" s="81"/>
      <c r="H1025" s="80"/>
      <c r="I1025" s="80"/>
      <c r="J1025" s="80"/>
      <c r="K1025" s="80"/>
      <c r="L1025" s="80"/>
      <c r="M1025" s="80"/>
      <c r="N1025" s="80"/>
      <c r="O1025" s="80"/>
      <c r="P1025" s="80"/>
      <c r="Q1025" s="80"/>
      <c r="R1025" s="80"/>
      <c r="S1025" s="80"/>
      <c r="T1025" s="80"/>
      <c r="U1025" s="80"/>
      <c r="V1025" s="80"/>
      <c r="W1025" s="80"/>
      <c r="X1025" s="80"/>
      <c r="Y1025" s="80"/>
      <c r="Z1025" s="80"/>
      <c r="AA1025" s="80"/>
      <c r="AB1025" s="80"/>
      <c r="AC1025" s="75"/>
      <c r="AD1025" s="75"/>
      <c r="AE1025" s="75"/>
      <c r="AF1025" s="75"/>
      <c r="AG1025" s="166"/>
      <c r="AH1025" s="75"/>
      <c r="AI1025" s="75"/>
      <c r="AJ1025" s="75"/>
      <c r="AK1025" s="75"/>
      <c r="AL1025" s="75"/>
      <c r="AM1025" s="75"/>
      <c r="AN1025" s="75"/>
      <c r="AO1025" s="76">
        <f>SUM(I1025:AN1025)</f>
        <v>0</v>
      </c>
      <c r="AP1025" s="561">
        <f>SUM(AO1025:AO1066)</f>
        <v>0</v>
      </c>
    </row>
    <row r="1026" spans="2:42" s="83" customFormat="1" ht="15">
      <c r="B1026" s="79" t="s">
        <v>76</v>
      </c>
      <c r="C1026" s="82"/>
      <c r="D1026" s="81"/>
      <c r="E1026" s="81"/>
      <c r="F1026" s="81"/>
      <c r="G1026" s="81"/>
      <c r="H1026" s="80"/>
      <c r="I1026" s="80"/>
      <c r="J1026" s="80"/>
      <c r="K1026" s="80"/>
      <c r="L1026" s="80"/>
      <c r="M1026" s="80"/>
      <c r="N1026" s="80"/>
      <c r="O1026" s="80"/>
      <c r="P1026" s="80"/>
      <c r="Q1026" s="80"/>
      <c r="R1026" s="80"/>
      <c r="S1026" s="80"/>
      <c r="T1026" s="80"/>
      <c r="U1026" s="80"/>
      <c r="V1026" s="80"/>
      <c r="W1026" s="80"/>
      <c r="X1026" s="80"/>
      <c r="Y1026" s="80"/>
      <c r="Z1026" s="80"/>
      <c r="AA1026" s="80"/>
      <c r="AB1026" s="80"/>
      <c r="AC1026" s="75"/>
      <c r="AD1026" s="75"/>
      <c r="AE1026" s="75"/>
      <c r="AF1026" s="75"/>
      <c r="AG1026" s="75"/>
      <c r="AH1026" s="75"/>
      <c r="AI1026" s="75"/>
      <c r="AJ1026" s="75"/>
      <c r="AK1026" s="75"/>
      <c r="AL1026" s="75"/>
      <c r="AM1026" s="75"/>
      <c r="AN1026" s="75"/>
      <c r="AO1026" s="76">
        <f t="shared" ref="AO1026:AO1054" si="64">SUM(I1026:AN1026)</f>
        <v>0</v>
      </c>
      <c r="AP1026" s="562"/>
    </row>
    <row r="1027" spans="2:42" s="83" customFormat="1" ht="15">
      <c r="B1027" s="79" t="s">
        <v>76</v>
      </c>
      <c r="C1027" s="82"/>
      <c r="D1027" s="81"/>
      <c r="E1027" s="81"/>
      <c r="F1027" s="81"/>
      <c r="G1027" s="81"/>
      <c r="H1027" s="80"/>
      <c r="I1027" s="80"/>
      <c r="J1027" s="80"/>
      <c r="K1027" s="80"/>
      <c r="L1027" s="80"/>
      <c r="M1027" s="80"/>
      <c r="N1027" s="80"/>
      <c r="O1027" s="80"/>
      <c r="P1027" s="80"/>
      <c r="Q1027" s="80"/>
      <c r="R1027" s="80"/>
      <c r="S1027" s="80"/>
      <c r="T1027" s="80"/>
      <c r="U1027" s="80"/>
      <c r="V1027" s="80"/>
      <c r="W1027" s="80"/>
      <c r="X1027" s="80"/>
      <c r="Y1027" s="80"/>
      <c r="Z1027" s="80"/>
      <c r="AA1027" s="80"/>
      <c r="AB1027" s="80"/>
      <c r="AC1027" s="75"/>
      <c r="AD1027" s="75"/>
      <c r="AE1027" s="75"/>
      <c r="AF1027" s="75"/>
      <c r="AG1027" s="75"/>
      <c r="AH1027" s="75"/>
      <c r="AI1027" s="75"/>
      <c r="AJ1027" s="75"/>
      <c r="AK1027" s="75"/>
      <c r="AL1027" s="75"/>
      <c r="AM1027" s="75"/>
      <c r="AN1027" s="75"/>
      <c r="AO1027" s="76">
        <f t="shared" si="64"/>
        <v>0</v>
      </c>
      <c r="AP1027" s="562"/>
    </row>
    <row r="1028" spans="2:42" s="83" customFormat="1" ht="15">
      <c r="B1028" s="79" t="s">
        <v>76</v>
      </c>
      <c r="C1028" s="82"/>
      <c r="D1028" s="81"/>
      <c r="E1028" s="81"/>
      <c r="F1028" s="81"/>
      <c r="G1028" s="81"/>
      <c r="H1028" s="80"/>
      <c r="I1028" s="80"/>
      <c r="J1028" s="80"/>
      <c r="K1028" s="80"/>
      <c r="L1028" s="80"/>
      <c r="M1028" s="80"/>
      <c r="N1028" s="80"/>
      <c r="O1028" s="80"/>
      <c r="P1028" s="80"/>
      <c r="Q1028" s="80"/>
      <c r="R1028" s="80"/>
      <c r="S1028" s="80"/>
      <c r="T1028" s="80"/>
      <c r="U1028" s="80"/>
      <c r="V1028" s="80"/>
      <c r="W1028" s="80"/>
      <c r="X1028" s="80"/>
      <c r="Y1028" s="80"/>
      <c r="Z1028" s="80"/>
      <c r="AA1028" s="80"/>
      <c r="AB1028" s="80"/>
      <c r="AC1028" s="75"/>
      <c r="AD1028" s="75"/>
      <c r="AE1028" s="75"/>
      <c r="AF1028" s="75"/>
      <c r="AG1028" s="75"/>
      <c r="AH1028" s="75"/>
      <c r="AI1028" s="75"/>
      <c r="AJ1028" s="75"/>
      <c r="AK1028" s="75"/>
      <c r="AL1028" s="75"/>
      <c r="AM1028" s="75"/>
      <c r="AN1028" s="75"/>
      <c r="AO1028" s="76">
        <f t="shared" si="64"/>
        <v>0</v>
      </c>
      <c r="AP1028" s="562"/>
    </row>
    <row r="1029" spans="2:42" s="83" customFormat="1" ht="15">
      <c r="B1029" s="79" t="s">
        <v>76</v>
      </c>
      <c r="C1029" s="82"/>
      <c r="D1029" s="81"/>
      <c r="E1029" s="81"/>
      <c r="F1029" s="81"/>
      <c r="G1029" s="81"/>
      <c r="H1029" s="80"/>
      <c r="I1029" s="80"/>
      <c r="J1029" s="80"/>
      <c r="K1029" s="80"/>
      <c r="L1029" s="80"/>
      <c r="M1029" s="80"/>
      <c r="N1029" s="80"/>
      <c r="O1029" s="80"/>
      <c r="P1029" s="80"/>
      <c r="Q1029" s="80"/>
      <c r="R1029" s="80"/>
      <c r="S1029" s="80"/>
      <c r="T1029" s="80"/>
      <c r="U1029" s="80"/>
      <c r="V1029" s="80"/>
      <c r="W1029" s="80"/>
      <c r="X1029" s="80"/>
      <c r="Y1029" s="80"/>
      <c r="Z1029" s="80"/>
      <c r="AA1029" s="80"/>
      <c r="AB1029" s="80"/>
      <c r="AC1029" s="75"/>
      <c r="AD1029" s="75"/>
      <c r="AE1029" s="75"/>
      <c r="AF1029" s="75"/>
      <c r="AG1029" s="75"/>
      <c r="AH1029" s="75"/>
      <c r="AI1029" s="75"/>
      <c r="AJ1029" s="75"/>
      <c r="AK1029" s="75"/>
      <c r="AL1029" s="75"/>
      <c r="AM1029" s="75"/>
      <c r="AN1029" s="75"/>
      <c r="AO1029" s="76">
        <f t="shared" si="64"/>
        <v>0</v>
      </c>
      <c r="AP1029" s="562"/>
    </row>
    <row r="1030" spans="2:42" s="83" customFormat="1" ht="15">
      <c r="B1030" s="79" t="s">
        <v>76</v>
      </c>
      <c r="C1030" s="82"/>
      <c r="D1030" s="81"/>
      <c r="E1030" s="81"/>
      <c r="F1030" s="81"/>
      <c r="G1030" s="81"/>
      <c r="H1030" s="80"/>
      <c r="I1030" s="80"/>
      <c r="J1030" s="80"/>
      <c r="K1030" s="80"/>
      <c r="L1030" s="80"/>
      <c r="M1030" s="80"/>
      <c r="N1030" s="80"/>
      <c r="O1030" s="80"/>
      <c r="P1030" s="80"/>
      <c r="Q1030" s="80"/>
      <c r="R1030" s="80"/>
      <c r="S1030" s="80"/>
      <c r="T1030" s="80"/>
      <c r="U1030" s="80"/>
      <c r="V1030" s="80"/>
      <c r="W1030" s="80"/>
      <c r="X1030" s="80"/>
      <c r="Y1030" s="80"/>
      <c r="Z1030" s="80"/>
      <c r="AA1030" s="80"/>
      <c r="AB1030" s="80"/>
      <c r="AC1030" s="75"/>
      <c r="AD1030" s="75"/>
      <c r="AE1030" s="75"/>
      <c r="AF1030" s="75"/>
      <c r="AG1030" s="75"/>
      <c r="AH1030" s="75"/>
      <c r="AI1030" s="75"/>
      <c r="AJ1030" s="75"/>
      <c r="AK1030" s="75"/>
      <c r="AL1030" s="75"/>
      <c r="AM1030" s="75"/>
      <c r="AN1030" s="75"/>
      <c r="AO1030" s="76">
        <f t="shared" si="64"/>
        <v>0</v>
      </c>
      <c r="AP1030" s="562"/>
    </row>
    <row r="1031" spans="2:42" s="83" customFormat="1">
      <c r="B1031" s="79" t="s">
        <v>76</v>
      </c>
      <c r="C1031" s="82"/>
      <c r="D1031" s="81"/>
      <c r="E1031" s="81"/>
      <c r="F1031" s="81"/>
      <c r="G1031" s="81"/>
      <c r="H1031" s="80"/>
      <c r="I1031" s="80"/>
      <c r="J1031" s="80"/>
      <c r="K1031" s="80"/>
      <c r="L1031" s="80"/>
      <c r="M1031" s="80"/>
      <c r="N1031" s="80"/>
      <c r="O1031" s="80"/>
      <c r="P1031" s="80"/>
      <c r="Q1031" s="80"/>
      <c r="R1031" s="80"/>
      <c r="S1031" s="80"/>
      <c r="T1031" s="80"/>
      <c r="U1031" s="80"/>
      <c r="V1031" s="80"/>
      <c r="W1031" s="80"/>
      <c r="X1031" s="80"/>
      <c r="Y1031" s="80"/>
      <c r="Z1031" s="80"/>
      <c r="AA1031" s="80"/>
      <c r="AB1031" s="80"/>
      <c r="AC1031" s="75"/>
      <c r="AD1031" s="75"/>
      <c r="AE1031" s="75"/>
      <c r="AF1031" s="75"/>
      <c r="AG1031" s="166"/>
      <c r="AH1031" s="75"/>
      <c r="AI1031" s="75"/>
      <c r="AJ1031" s="75"/>
      <c r="AK1031" s="75"/>
      <c r="AL1031" s="75"/>
      <c r="AM1031" s="75"/>
      <c r="AN1031" s="75"/>
      <c r="AO1031" s="76">
        <f t="shared" si="64"/>
        <v>0</v>
      </c>
      <c r="AP1031" s="562"/>
    </row>
    <row r="1032" spans="2:42" s="83" customFormat="1">
      <c r="B1032" s="79" t="s">
        <v>76</v>
      </c>
      <c r="C1032" s="82"/>
      <c r="D1032" s="81"/>
      <c r="E1032" s="81"/>
      <c r="F1032" s="81"/>
      <c r="G1032" s="81"/>
      <c r="H1032" s="80"/>
      <c r="I1032" s="80"/>
      <c r="J1032" s="80"/>
      <c r="K1032" s="80"/>
      <c r="L1032" s="80"/>
      <c r="M1032" s="80"/>
      <c r="N1032" s="80"/>
      <c r="O1032" s="80"/>
      <c r="P1032" s="80"/>
      <c r="Q1032" s="80"/>
      <c r="R1032" s="80"/>
      <c r="S1032" s="80"/>
      <c r="T1032" s="80"/>
      <c r="U1032" s="80"/>
      <c r="V1032" s="80"/>
      <c r="W1032" s="80"/>
      <c r="X1032" s="80"/>
      <c r="Y1032" s="80"/>
      <c r="Z1032" s="80"/>
      <c r="AA1032" s="80"/>
      <c r="AB1032" s="80"/>
      <c r="AC1032" s="75"/>
      <c r="AD1032" s="166"/>
      <c r="AE1032" s="75"/>
      <c r="AF1032" s="75"/>
      <c r="AG1032" s="75"/>
      <c r="AH1032" s="75"/>
      <c r="AI1032" s="75"/>
      <c r="AJ1032" s="75"/>
      <c r="AK1032" s="75"/>
      <c r="AL1032" s="75"/>
      <c r="AM1032" s="75"/>
      <c r="AN1032" s="75"/>
      <c r="AO1032" s="76">
        <f t="shared" si="64"/>
        <v>0</v>
      </c>
      <c r="AP1032" s="562"/>
    </row>
    <row r="1033" spans="2:42" s="83" customFormat="1" ht="15">
      <c r="B1033" s="79" t="s">
        <v>76</v>
      </c>
      <c r="C1033" s="82"/>
      <c r="D1033" s="81"/>
      <c r="E1033" s="81"/>
      <c r="F1033" s="81"/>
      <c r="G1033" s="81"/>
      <c r="H1033" s="80"/>
      <c r="I1033" s="80"/>
      <c r="J1033" s="80"/>
      <c r="K1033" s="80"/>
      <c r="L1033" s="80"/>
      <c r="M1033" s="80"/>
      <c r="N1033" s="80"/>
      <c r="O1033" s="80"/>
      <c r="P1033" s="80"/>
      <c r="Q1033" s="80"/>
      <c r="R1033" s="80"/>
      <c r="S1033" s="80"/>
      <c r="T1033" s="80"/>
      <c r="U1033" s="80"/>
      <c r="V1033" s="80"/>
      <c r="W1033" s="80"/>
      <c r="X1033" s="80"/>
      <c r="Y1033" s="80"/>
      <c r="Z1033" s="80"/>
      <c r="AA1033" s="80"/>
      <c r="AB1033" s="80"/>
      <c r="AC1033" s="75"/>
      <c r="AD1033" s="75"/>
      <c r="AE1033" s="75"/>
      <c r="AF1033" s="75"/>
      <c r="AG1033" s="75"/>
      <c r="AH1033" s="75"/>
      <c r="AI1033" s="75"/>
      <c r="AJ1033" s="75"/>
      <c r="AK1033" s="75"/>
      <c r="AL1033" s="75"/>
      <c r="AM1033" s="75"/>
      <c r="AN1033" s="75"/>
      <c r="AO1033" s="76">
        <f t="shared" si="64"/>
        <v>0</v>
      </c>
      <c r="AP1033" s="562"/>
    </row>
    <row r="1034" spans="2:42" s="83" customFormat="1" ht="15">
      <c r="B1034" s="79" t="s">
        <v>76</v>
      </c>
      <c r="C1034" s="82"/>
      <c r="D1034" s="81"/>
      <c r="E1034" s="81"/>
      <c r="F1034" s="81"/>
      <c r="G1034" s="81"/>
      <c r="H1034" s="80"/>
      <c r="I1034" s="80"/>
      <c r="J1034" s="80"/>
      <c r="K1034" s="80"/>
      <c r="L1034" s="80"/>
      <c r="M1034" s="80"/>
      <c r="N1034" s="80"/>
      <c r="O1034" s="80"/>
      <c r="P1034" s="80"/>
      <c r="Q1034" s="80"/>
      <c r="R1034" s="80"/>
      <c r="S1034" s="80"/>
      <c r="T1034" s="80"/>
      <c r="U1034" s="80"/>
      <c r="V1034" s="80"/>
      <c r="W1034" s="80"/>
      <c r="X1034" s="80"/>
      <c r="Y1034" s="80"/>
      <c r="Z1034" s="80"/>
      <c r="AA1034" s="80"/>
      <c r="AB1034" s="80"/>
      <c r="AC1034" s="75"/>
      <c r="AD1034" s="75"/>
      <c r="AE1034" s="75"/>
      <c r="AF1034" s="75"/>
      <c r="AG1034" s="75"/>
      <c r="AH1034" s="75"/>
      <c r="AI1034" s="75"/>
      <c r="AJ1034" s="75"/>
      <c r="AK1034" s="75"/>
      <c r="AL1034" s="75"/>
      <c r="AM1034" s="75"/>
      <c r="AN1034" s="75"/>
      <c r="AO1034" s="76">
        <f t="shared" si="64"/>
        <v>0</v>
      </c>
      <c r="AP1034" s="562"/>
    </row>
    <row r="1035" spans="2:42" s="83" customFormat="1" ht="15">
      <c r="B1035" s="79" t="s">
        <v>76</v>
      </c>
      <c r="C1035" s="82"/>
      <c r="D1035" s="81"/>
      <c r="E1035" s="81"/>
      <c r="F1035" s="81"/>
      <c r="G1035" s="81"/>
      <c r="H1035" s="80"/>
      <c r="I1035" s="80"/>
      <c r="J1035" s="80"/>
      <c r="K1035" s="80"/>
      <c r="L1035" s="80"/>
      <c r="M1035" s="80"/>
      <c r="N1035" s="80"/>
      <c r="O1035" s="80"/>
      <c r="P1035" s="80"/>
      <c r="Q1035" s="80"/>
      <c r="R1035" s="80"/>
      <c r="S1035" s="80"/>
      <c r="T1035" s="80"/>
      <c r="U1035" s="80"/>
      <c r="V1035" s="80"/>
      <c r="W1035" s="80"/>
      <c r="X1035" s="80"/>
      <c r="Y1035" s="80"/>
      <c r="Z1035" s="80"/>
      <c r="AA1035" s="80"/>
      <c r="AB1035" s="80"/>
      <c r="AC1035" s="75"/>
      <c r="AD1035" s="75"/>
      <c r="AE1035" s="75"/>
      <c r="AF1035" s="75"/>
      <c r="AG1035" s="75"/>
      <c r="AH1035" s="75"/>
      <c r="AI1035" s="75"/>
      <c r="AJ1035" s="75"/>
      <c r="AK1035" s="75"/>
      <c r="AL1035" s="75"/>
      <c r="AM1035" s="75"/>
      <c r="AN1035" s="75"/>
      <c r="AO1035" s="76">
        <f t="shared" si="64"/>
        <v>0</v>
      </c>
      <c r="AP1035" s="562"/>
    </row>
    <row r="1036" spans="2:42" s="83" customFormat="1" ht="15">
      <c r="B1036" s="79" t="s">
        <v>76</v>
      </c>
      <c r="C1036" s="82"/>
      <c r="D1036" s="81"/>
      <c r="E1036" s="81"/>
      <c r="F1036" s="81"/>
      <c r="G1036" s="81"/>
      <c r="H1036" s="80"/>
      <c r="I1036" s="80"/>
      <c r="J1036" s="80"/>
      <c r="K1036" s="80"/>
      <c r="L1036" s="80"/>
      <c r="M1036" s="80"/>
      <c r="N1036" s="80"/>
      <c r="O1036" s="80"/>
      <c r="P1036" s="80"/>
      <c r="Q1036" s="80"/>
      <c r="R1036" s="80"/>
      <c r="S1036" s="80"/>
      <c r="T1036" s="80"/>
      <c r="U1036" s="80"/>
      <c r="V1036" s="80"/>
      <c r="W1036" s="80"/>
      <c r="X1036" s="80"/>
      <c r="Y1036" s="80"/>
      <c r="Z1036" s="80"/>
      <c r="AA1036" s="80"/>
      <c r="AB1036" s="80"/>
      <c r="AC1036" s="75"/>
      <c r="AD1036" s="75"/>
      <c r="AE1036" s="75"/>
      <c r="AF1036" s="75"/>
      <c r="AG1036" s="75"/>
      <c r="AH1036" s="75"/>
      <c r="AI1036" s="75"/>
      <c r="AJ1036" s="75"/>
      <c r="AK1036" s="75"/>
      <c r="AL1036" s="75"/>
      <c r="AM1036" s="75"/>
      <c r="AN1036" s="75"/>
      <c r="AO1036" s="76">
        <f t="shared" si="64"/>
        <v>0</v>
      </c>
      <c r="AP1036" s="562"/>
    </row>
    <row r="1037" spans="2:42" s="83" customFormat="1" ht="15">
      <c r="B1037" s="79" t="s">
        <v>76</v>
      </c>
      <c r="C1037" s="82"/>
      <c r="D1037" s="81"/>
      <c r="E1037" s="81"/>
      <c r="F1037" s="81"/>
      <c r="G1037" s="81"/>
      <c r="H1037" s="80"/>
      <c r="I1037" s="80"/>
      <c r="J1037" s="80"/>
      <c r="K1037" s="80"/>
      <c r="L1037" s="80"/>
      <c r="M1037" s="80"/>
      <c r="N1037" s="80"/>
      <c r="O1037" s="80"/>
      <c r="P1037" s="80"/>
      <c r="Q1037" s="80"/>
      <c r="R1037" s="80"/>
      <c r="S1037" s="80"/>
      <c r="T1037" s="80"/>
      <c r="U1037" s="80"/>
      <c r="V1037" s="80"/>
      <c r="W1037" s="80"/>
      <c r="X1037" s="80"/>
      <c r="Y1037" s="80"/>
      <c r="Z1037" s="80"/>
      <c r="AA1037" s="80"/>
      <c r="AB1037" s="80"/>
      <c r="AC1037" s="75"/>
      <c r="AD1037" s="75"/>
      <c r="AE1037" s="75"/>
      <c r="AF1037" s="75"/>
      <c r="AG1037" s="75"/>
      <c r="AH1037" s="75"/>
      <c r="AI1037" s="75"/>
      <c r="AJ1037" s="75"/>
      <c r="AK1037" s="75"/>
      <c r="AL1037" s="75"/>
      <c r="AM1037" s="75"/>
      <c r="AN1037" s="75"/>
      <c r="AO1037" s="76">
        <f t="shared" si="64"/>
        <v>0</v>
      </c>
      <c r="AP1037" s="562"/>
    </row>
    <row r="1038" spans="2:42" s="83" customFormat="1" ht="15">
      <c r="B1038" s="79" t="s">
        <v>76</v>
      </c>
      <c r="C1038" s="82"/>
      <c r="D1038" s="81"/>
      <c r="E1038" s="81"/>
      <c r="F1038" s="81"/>
      <c r="G1038" s="81"/>
      <c r="H1038" s="80"/>
      <c r="I1038" s="80"/>
      <c r="J1038" s="80"/>
      <c r="K1038" s="80"/>
      <c r="L1038" s="80"/>
      <c r="M1038" s="80"/>
      <c r="N1038" s="80"/>
      <c r="O1038" s="80"/>
      <c r="P1038" s="80"/>
      <c r="Q1038" s="80"/>
      <c r="R1038" s="80"/>
      <c r="S1038" s="80"/>
      <c r="T1038" s="80"/>
      <c r="U1038" s="80"/>
      <c r="V1038" s="80"/>
      <c r="W1038" s="80"/>
      <c r="X1038" s="80"/>
      <c r="Y1038" s="80"/>
      <c r="Z1038" s="80"/>
      <c r="AA1038" s="80"/>
      <c r="AB1038" s="80"/>
      <c r="AC1038" s="75"/>
      <c r="AD1038" s="75"/>
      <c r="AE1038" s="75"/>
      <c r="AF1038" s="75"/>
      <c r="AG1038" s="75"/>
      <c r="AH1038" s="75"/>
      <c r="AI1038" s="75"/>
      <c r="AJ1038" s="75"/>
      <c r="AK1038" s="75"/>
      <c r="AL1038" s="75"/>
      <c r="AM1038" s="75"/>
      <c r="AN1038" s="75"/>
      <c r="AO1038" s="76">
        <f t="shared" si="64"/>
        <v>0</v>
      </c>
      <c r="AP1038" s="562"/>
    </row>
    <row r="1039" spans="2:42" s="83" customFormat="1" ht="15">
      <c r="B1039" s="79" t="s">
        <v>76</v>
      </c>
      <c r="C1039" s="82"/>
      <c r="D1039" s="81"/>
      <c r="E1039" s="81"/>
      <c r="F1039" s="81"/>
      <c r="G1039" s="81"/>
      <c r="H1039" s="80"/>
      <c r="I1039" s="80"/>
      <c r="J1039" s="80"/>
      <c r="K1039" s="80"/>
      <c r="L1039" s="80"/>
      <c r="M1039" s="80"/>
      <c r="N1039" s="80"/>
      <c r="O1039" s="80"/>
      <c r="P1039" s="80"/>
      <c r="Q1039" s="80"/>
      <c r="R1039" s="80"/>
      <c r="S1039" s="80"/>
      <c r="T1039" s="80"/>
      <c r="U1039" s="80"/>
      <c r="V1039" s="80"/>
      <c r="W1039" s="80"/>
      <c r="X1039" s="80"/>
      <c r="Y1039" s="80"/>
      <c r="Z1039" s="80"/>
      <c r="AA1039" s="80"/>
      <c r="AB1039" s="80"/>
      <c r="AC1039" s="75"/>
      <c r="AD1039" s="75"/>
      <c r="AE1039" s="75"/>
      <c r="AF1039" s="75"/>
      <c r="AG1039" s="75"/>
      <c r="AH1039" s="75"/>
      <c r="AI1039" s="75"/>
      <c r="AJ1039" s="75"/>
      <c r="AK1039" s="75"/>
      <c r="AL1039" s="75"/>
      <c r="AM1039" s="75"/>
      <c r="AN1039" s="75"/>
      <c r="AO1039" s="76">
        <f t="shared" si="64"/>
        <v>0</v>
      </c>
      <c r="AP1039" s="562"/>
    </row>
    <row r="1040" spans="2:42" s="83" customFormat="1" ht="15">
      <c r="B1040" s="79" t="s">
        <v>76</v>
      </c>
      <c r="C1040" s="82"/>
      <c r="D1040" s="81"/>
      <c r="E1040" s="81"/>
      <c r="F1040" s="81"/>
      <c r="G1040" s="81"/>
      <c r="H1040" s="80"/>
      <c r="I1040" s="80"/>
      <c r="J1040" s="80"/>
      <c r="K1040" s="80"/>
      <c r="L1040" s="80"/>
      <c r="M1040" s="80"/>
      <c r="N1040" s="80"/>
      <c r="O1040" s="80"/>
      <c r="P1040" s="80"/>
      <c r="Q1040" s="80"/>
      <c r="R1040" s="80"/>
      <c r="S1040" s="80"/>
      <c r="T1040" s="80"/>
      <c r="U1040" s="80"/>
      <c r="V1040" s="80"/>
      <c r="W1040" s="80"/>
      <c r="X1040" s="80"/>
      <c r="Y1040" s="80"/>
      <c r="Z1040" s="80"/>
      <c r="AA1040" s="80"/>
      <c r="AB1040" s="80"/>
      <c r="AC1040" s="75"/>
      <c r="AD1040" s="75"/>
      <c r="AE1040" s="75"/>
      <c r="AF1040" s="75"/>
      <c r="AG1040" s="75"/>
      <c r="AH1040" s="75"/>
      <c r="AI1040" s="75"/>
      <c r="AJ1040" s="75"/>
      <c r="AK1040" s="75"/>
      <c r="AL1040" s="75"/>
      <c r="AM1040" s="75"/>
      <c r="AN1040" s="75"/>
      <c r="AO1040" s="76">
        <f t="shared" si="64"/>
        <v>0</v>
      </c>
      <c r="AP1040" s="562"/>
    </row>
    <row r="1041" spans="2:42" s="83" customFormat="1" ht="15">
      <c r="B1041" s="79" t="s">
        <v>76</v>
      </c>
      <c r="C1041" s="82"/>
      <c r="D1041" s="81"/>
      <c r="E1041" s="81"/>
      <c r="F1041" s="81"/>
      <c r="G1041" s="81"/>
      <c r="H1041" s="80"/>
      <c r="I1041" s="80"/>
      <c r="J1041" s="80"/>
      <c r="K1041" s="80"/>
      <c r="L1041" s="80"/>
      <c r="M1041" s="80"/>
      <c r="N1041" s="80"/>
      <c r="O1041" s="80"/>
      <c r="P1041" s="80"/>
      <c r="Q1041" s="80"/>
      <c r="R1041" s="80"/>
      <c r="S1041" s="80"/>
      <c r="T1041" s="80"/>
      <c r="U1041" s="80"/>
      <c r="V1041" s="80"/>
      <c r="W1041" s="80"/>
      <c r="X1041" s="80"/>
      <c r="Y1041" s="80"/>
      <c r="Z1041" s="80"/>
      <c r="AA1041" s="80"/>
      <c r="AB1041" s="80"/>
      <c r="AC1041" s="75"/>
      <c r="AD1041" s="75"/>
      <c r="AE1041" s="75"/>
      <c r="AF1041" s="75"/>
      <c r="AG1041" s="75"/>
      <c r="AH1041" s="75"/>
      <c r="AI1041" s="75"/>
      <c r="AJ1041" s="75"/>
      <c r="AK1041" s="75"/>
      <c r="AL1041" s="75"/>
      <c r="AM1041" s="75"/>
      <c r="AN1041" s="75"/>
      <c r="AO1041" s="76">
        <f t="shared" ref="AO1041:AO1049" si="65">SUM(I1041:AN1041)</f>
        <v>0</v>
      </c>
      <c r="AP1041" s="562"/>
    </row>
    <row r="1042" spans="2:42" s="83" customFormat="1" ht="15">
      <c r="B1042" s="79" t="s">
        <v>76</v>
      </c>
      <c r="C1042" s="82"/>
      <c r="D1042" s="81"/>
      <c r="E1042" s="81"/>
      <c r="F1042" s="81"/>
      <c r="G1042" s="81"/>
      <c r="H1042" s="80"/>
      <c r="I1042" s="80"/>
      <c r="J1042" s="80"/>
      <c r="K1042" s="80"/>
      <c r="L1042" s="80"/>
      <c r="M1042" s="80"/>
      <c r="N1042" s="80"/>
      <c r="O1042" s="80"/>
      <c r="P1042" s="80"/>
      <c r="Q1042" s="80"/>
      <c r="R1042" s="80"/>
      <c r="S1042" s="80"/>
      <c r="T1042" s="80"/>
      <c r="U1042" s="80"/>
      <c r="V1042" s="80"/>
      <c r="W1042" s="80"/>
      <c r="X1042" s="80"/>
      <c r="Y1042" s="80"/>
      <c r="Z1042" s="80"/>
      <c r="AA1042" s="80"/>
      <c r="AB1042" s="80"/>
      <c r="AC1042" s="75"/>
      <c r="AD1042" s="75"/>
      <c r="AE1042" s="75"/>
      <c r="AF1042" s="75"/>
      <c r="AG1042" s="75"/>
      <c r="AH1042" s="75"/>
      <c r="AI1042" s="75"/>
      <c r="AJ1042" s="75"/>
      <c r="AK1042" s="75"/>
      <c r="AL1042" s="75"/>
      <c r="AM1042" s="75"/>
      <c r="AN1042" s="75"/>
      <c r="AO1042" s="76">
        <f t="shared" si="65"/>
        <v>0</v>
      </c>
      <c r="AP1042" s="562"/>
    </row>
    <row r="1043" spans="2:42" s="83" customFormat="1" ht="15">
      <c r="B1043" s="79" t="s">
        <v>76</v>
      </c>
      <c r="C1043" s="82"/>
      <c r="D1043" s="81"/>
      <c r="E1043" s="81"/>
      <c r="F1043" s="81"/>
      <c r="G1043" s="81"/>
      <c r="H1043" s="80"/>
      <c r="I1043" s="80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75"/>
      <c r="AD1043" s="75"/>
      <c r="AE1043" s="75"/>
      <c r="AF1043" s="75"/>
      <c r="AG1043" s="75"/>
      <c r="AH1043" s="75"/>
      <c r="AI1043" s="75"/>
      <c r="AJ1043" s="75"/>
      <c r="AK1043" s="75"/>
      <c r="AL1043" s="75"/>
      <c r="AM1043" s="75"/>
      <c r="AN1043" s="75"/>
      <c r="AO1043" s="76">
        <f t="shared" si="65"/>
        <v>0</v>
      </c>
      <c r="AP1043" s="562"/>
    </row>
    <row r="1044" spans="2:42" s="83" customFormat="1" ht="15">
      <c r="B1044" s="79" t="s">
        <v>76</v>
      </c>
      <c r="C1044" s="82"/>
      <c r="D1044" s="81"/>
      <c r="E1044" s="81"/>
      <c r="F1044" s="81"/>
      <c r="G1044" s="81"/>
      <c r="H1044" s="80"/>
      <c r="I1044" s="80"/>
      <c r="J1044" s="80"/>
      <c r="K1044" s="80"/>
      <c r="L1044" s="80"/>
      <c r="M1044" s="80"/>
      <c r="N1044" s="80"/>
      <c r="O1044" s="80"/>
      <c r="P1044" s="80"/>
      <c r="Q1044" s="80"/>
      <c r="R1044" s="80"/>
      <c r="S1044" s="80"/>
      <c r="T1044" s="80"/>
      <c r="U1044" s="80"/>
      <c r="V1044" s="80"/>
      <c r="W1044" s="80"/>
      <c r="X1044" s="80"/>
      <c r="Y1044" s="80"/>
      <c r="Z1044" s="80"/>
      <c r="AA1044" s="80"/>
      <c r="AB1044" s="80"/>
      <c r="AC1044" s="75"/>
      <c r="AD1044" s="75"/>
      <c r="AE1044" s="75"/>
      <c r="AF1044" s="75"/>
      <c r="AG1044" s="75"/>
      <c r="AH1044" s="75"/>
      <c r="AI1044" s="75"/>
      <c r="AJ1044" s="75"/>
      <c r="AK1044" s="75"/>
      <c r="AL1044" s="75"/>
      <c r="AM1044" s="75"/>
      <c r="AN1044" s="75"/>
      <c r="AO1044" s="76">
        <f t="shared" si="65"/>
        <v>0</v>
      </c>
      <c r="AP1044" s="562"/>
    </row>
    <row r="1045" spans="2:42" s="83" customFormat="1" ht="15">
      <c r="B1045" s="79" t="s">
        <v>76</v>
      </c>
      <c r="C1045" s="82"/>
      <c r="D1045" s="81"/>
      <c r="E1045" s="81"/>
      <c r="F1045" s="81"/>
      <c r="G1045" s="81"/>
      <c r="H1045" s="80"/>
      <c r="I1045" s="80"/>
      <c r="J1045" s="80"/>
      <c r="K1045" s="80"/>
      <c r="L1045" s="80"/>
      <c r="M1045" s="80"/>
      <c r="N1045" s="80"/>
      <c r="O1045" s="80"/>
      <c r="P1045" s="80"/>
      <c r="Q1045" s="80"/>
      <c r="R1045" s="80"/>
      <c r="S1045" s="80"/>
      <c r="T1045" s="80"/>
      <c r="U1045" s="80"/>
      <c r="V1045" s="80"/>
      <c r="W1045" s="80"/>
      <c r="X1045" s="80"/>
      <c r="Y1045" s="80"/>
      <c r="Z1045" s="80"/>
      <c r="AA1045" s="80"/>
      <c r="AB1045" s="80"/>
      <c r="AC1045" s="75"/>
      <c r="AD1045" s="75"/>
      <c r="AE1045" s="75"/>
      <c r="AF1045" s="75"/>
      <c r="AG1045" s="75"/>
      <c r="AH1045" s="75"/>
      <c r="AI1045" s="75"/>
      <c r="AJ1045" s="75"/>
      <c r="AK1045" s="75"/>
      <c r="AL1045" s="75"/>
      <c r="AM1045" s="75"/>
      <c r="AN1045" s="75"/>
      <c r="AO1045" s="76">
        <f t="shared" si="65"/>
        <v>0</v>
      </c>
      <c r="AP1045" s="562"/>
    </row>
    <row r="1046" spans="2:42" s="83" customFormat="1" ht="15">
      <c r="B1046" s="79" t="s">
        <v>76</v>
      </c>
      <c r="C1046" s="82"/>
      <c r="D1046" s="81"/>
      <c r="E1046" s="81"/>
      <c r="F1046" s="81"/>
      <c r="G1046" s="81"/>
      <c r="H1046" s="80"/>
      <c r="I1046" s="80"/>
      <c r="J1046" s="80"/>
      <c r="K1046" s="80"/>
      <c r="L1046" s="80"/>
      <c r="M1046" s="80"/>
      <c r="N1046" s="80"/>
      <c r="O1046" s="80"/>
      <c r="P1046" s="80"/>
      <c r="Q1046" s="80"/>
      <c r="R1046" s="80"/>
      <c r="S1046" s="80"/>
      <c r="T1046" s="80"/>
      <c r="U1046" s="80"/>
      <c r="V1046" s="80"/>
      <c r="W1046" s="80"/>
      <c r="X1046" s="80"/>
      <c r="Y1046" s="80"/>
      <c r="Z1046" s="80"/>
      <c r="AA1046" s="80"/>
      <c r="AB1046" s="80"/>
      <c r="AC1046" s="75"/>
      <c r="AD1046" s="75"/>
      <c r="AE1046" s="75"/>
      <c r="AF1046" s="75"/>
      <c r="AG1046" s="75"/>
      <c r="AH1046" s="75"/>
      <c r="AI1046" s="75"/>
      <c r="AJ1046" s="75"/>
      <c r="AK1046" s="75"/>
      <c r="AL1046" s="75"/>
      <c r="AM1046" s="75"/>
      <c r="AN1046" s="75"/>
      <c r="AO1046" s="76">
        <f t="shared" si="65"/>
        <v>0</v>
      </c>
      <c r="AP1046" s="562"/>
    </row>
    <row r="1047" spans="2:42" s="83" customFormat="1" ht="15">
      <c r="B1047" s="79" t="s">
        <v>76</v>
      </c>
      <c r="C1047" s="82"/>
      <c r="D1047" s="81"/>
      <c r="E1047" s="81"/>
      <c r="F1047" s="81"/>
      <c r="G1047" s="81"/>
      <c r="H1047" s="80"/>
      <c r="I1047" s="80"/>
      <c r="J1047" s="80"/>
      <c r="K1047" s="80"/>
      <c r="L1047" s="80"/>
      <c r="M1047" s="80"/>
      <c r="N1047" s="80"/>
      <c r="O1047" s="80"/>
      <c r="P1047" s="80"/>
      <c r="Q1047" s="80"/>
      <c r="R1047" s="80"/>
      <c r="S1047" s="80"/>
      <c r="T1047" s="80"/>
      <c r="U1047" s="80"/>
      <c r="V1047" s="80"/>
      <c r="W1047" s="80"/>
      <c r="X1047" s="80"/>
      <c r="Y1047" s="80"/>
      <c r="Z1047" s="80"/>
      <c r="AA1047" s="80"/>
      <c r="AB1047" s="80"/>
      <c r="AC1047" s="75"/>
      <c r="AD1047" s="75"/>
      <c r="AE1047" s="75"/>
      <c r="AF1047" s="75"/>
      <c r="AG1047" s="75"/>
      <c r="AH1047" s="75"/>
      <c r="AI1047" s="75"/>
      <c r="AJ1047" s="75"/>
      <c r="AK1047" s="75"/>
      <c r="AL1047" s="75"/>
      <c r="AM1047" s="75"/>
      <c r="AN1047" s="75"/>
      <c r="AO1047" s="76">
        <f t="shared" si="65"/>
        <v>0</v>
      </c>
      <c r="AP1047" s="562"/>
    </row>
    <row r="1048" spans="2:42" s="83" customFormat="1" ht="15">
      <c r="B1048" s="79" t="s">
        <v>76</v>
      </c>
      <c r="C1048" s="82"/>
      <c r="D1048" s="81"/>
      <c r="E1048" s="81"/>
      <c r="F1048" s="81"/>
      <c r="G1048" s="81"/>
      <c r="H1048" s="80"/>
      <c r="I1048" s="80"/>
      <c r="J1048" s="80"/>
      <c r="K1048" s="80"/>
      <c r="L1048" s="80"/>
      <c r="M1048" s="80"/>
      <c r="N1048" s="80"/>
      <c r="O1048" s="80"/>
      <c r="P1048" s="80"/>
      <c r="Q1048" s="80"/>
      <c r="R1048" s="80"/>
      <c r="S1048" s="80"/>
      <c r="T1048" s="80"/>
      <c r="U1048" s="80"/>
      <c r="V1048" s="80"/>
      <c r="W1048" s="80"/>
      <c r="X1048" s="80"/>
      <c r="Y1048" s="80"/>
      <c r="Z1048" s="80"/>
      <c r="AA1048" s="80"/>
      <c r="AB1048" s="80"/>
      <c r="AC1048" s="75"/>
      <c r="AD1048" s="75"/>
      <c r="AE1048" s="75"/>
      <c r="AF1048" s="75"/>
      <c r="AG1048" s="75"/>
      <c r="AH1048" s="75"/>
      <c r="AI1048" s="75"/>
      <c r="AJ1048" s="75"/>
      <c r="AK1048" s="75"/>
      <c r="AL1048" s="75"/>
      <c r="AM1048" s="75"/>
      <c r="AN1048" s="75"/>
      <c r="AO1048" s="76">
        <f t="shared" si="65"/>
        <v>0</v>
      </c>
      <c r="AP1048" s="562"/>
    </row>
    <row r="1049" spans="2:42" s="83" customFormat="1" ht="15">
      <c r="B1049" s="79" t="s">
        <v>76</v>
      </c>
      <c r="C1049" s="82"/>
      <c r="D1049" s="81"/>
      <c r="E1049" s="81"/>
      <c r="F1049" s="81"/>
      <c r="G1049" s="81"/>
      <c r="H1049" s="80"/>
      <c r="I1049" s="80"/>
      <c r="J1049" s="80"/>
      <c r="K1049" s="80"/>
      <c r="L1049" s="80"/>
      <c r="M1049" s="80"/>
      <c r="N1049" s="80"/>
      <c r="O1049" s="80"/>
      <c r="P1049" s="80"/>
      <c r="Q1049" s="80"/>
      <c r="R1049" s="80"/>
      <c r="S1049" s="80"/>
      <c r="T1049" s="80"/>
      <c r="U1049" s="80"/>
      <c r="V1049" s="80"/>
      <c r="W1049" s="80"/>
      <c r="X1049" s="80"/>
      <c r="Y1049" s="80"/>
      <c r="Z1049" s="80"/>
      <c r="AA1049" s="80"/>
      <c r="AB1049" s="80"/>
      <c r="AC1049" s="75"/>
      <c r="AD1049" s="75"/>
      <c r="AE1049" s="75"/>
      <c r="AF1049" s="75"/>
      <c r="AG1049" s="75"/>
      <c r="AH1049" s="75"/>
      <c r="AI1049" s="75"/>
      <c r="AJ1049" s="75"/>
      <c r="AK1049" s="75"/>
      <c r="AL1049" s="75"/>
      <c r="AM1049" s="75"/>
      <c r="AN1049" s="75"/>
      <c r="AO1049" s="76">
        <f t="shared" si="65"/>
        <v>0</v>
      </c>
      <c r="AP1049" s="562"/>
    </row>
    <row r="1050" spans="2:42" s="83" customFormat="1" ht="15">
      <c r="B1050" s="79" t="s">
        <v>76</v>
      </c>
      <c r="C1050" s="82"/>
      <c r="D1050" s="81"/>
      <c r="E1050" s="81"/>
      <c r="F1050" s="81"/>
      <c r="G1050" s="81"/>
      <c r="H1050" s="80"/>
      <c r="I1050" s="80"/>
      <c r="J1050" s="80"/>
      <c r="K1050" s="80"/>
      <c r="L1050" s="80"/>
      <c r="M1050" s="80"/>
      <c r="N1050" s="80"/>
      <c r="O1050" s="80"/>
      <c r="P1050" s="80"/>
      <c r="Q1050" s="80"/>
      <c r="R1050" s="80"/>
      <c r="S1050" s="80"/>
      <c r="T1050" s="80"/>
      <c r="U1050" s="80"/>
      <c r="V1050" s="80"/>
      <c r="W1050" s="80"/>
      <c r="X1050" s="80"/>
      <c r="Y1050" s="80"/>
      <c r="Z1050" s="80"/>
      <c r="AA1050" s="80"/>
      <c r="AB1050" s="80"/>
      <c r="AC1050" s="75"/>
      <c r="AD1050" s="75"/>
      <c r="AE1050" s="75"/>
      <c r="AF1050" s="75"/>
      <c r="AG1050" s="75"/>
      <c r="AH1050" s="75"/>
      <c r="AI1050" s="75"/>
      <c r="AJ1050" s="75"/>
      <c r="AK1050" s="75"/>
      <c r="AL1050" s="75"/>
      <c r="AM1050" s="75"/>
      <c r="AN1050" s="75"/>
      <c r="AO1050" s="76">
        <f t="shared" si="64"/>
        <v>0</v>
      </c>
      <c r="AP1050" s="562"/>
    </row>
    <row r="1051" spans="2:42" s="83" customFormat="1" ht="15">
      <c r="B1051" s="79" t="s">
        <v>76</v>
      </c>
      <c r="C1051" s="82"/>
      <c r="D1051" s="81"/>
      <c r="E1051" s="81"/>
      <c r="F1051" s="81"/>
      <c r="G1051" s="81"/>
      <c r="H1051" s="80"/>
      <c r="I1051" s="80"/>
      <c r="J1051" s="80"/>
      <c r="K1051" s="80"/>
      <c r="L1051" s="80"/>
      <c r="M1051" s="80"/>
      <c r="N1051" s="80"/>
      <c r="O1051" s="80"/>
      <c r="P1051" s="80"/>
      <c r="Q1051" s="80"/>
      <c r="R1051" s="80"/>
      <c r="S1051" s="80"/>
      <c r="T1051" s="80"/>
      <c r="U1051" s="80"/>
      <c r="V1051" s="80"/>
      <c r="W1051" s="80"/>
      <c r="X1051" s="80"/>
      <c r="Y1051" s="80"/>
      <c r="Z1051" s="80"/>
      <c r="AA1051" s="80"/>
      <c r="AB1051" s="80"/>
      <c r="AC1051" s="75"/>
      <c r="AD1051" s="75"/>
      <c r="AE1051" s="75"/>
      <c r="AF1051" s="75"/>
      <c r="AG1051" s="75"/>
      <c r="AH1051" s="75"/>
      <c r="AI1051" s="75"/>
      <c r="AJ1051" s="75"/>
      <c r="AK1051" s="75"/>
      <c r="AL1051" s="75"/>
      <c r="AM1051" s="75"/>
      <c r="AN1051" s="75"/>
      <c r="AO1051" s="76">
        <f t="shared" si="64"/>
        <v>0</v>
      </c>
      <c r="AP1051" s="562"/>
    </row>
    <row r="1052" spans="2:42" s="83" customFormat="1" ht="15">
      <c r="B1052" s="79" t="s">
        <v>76</v>
      </c>
      <c r="C1052" s="82"/>
      <c r="D1052" s="81"/>
      <c r="E1052" s="81"/>
      <c r="F1052" s="81"/>
      <c r="G1052" s="81"/>
      <c r="H1052" s="80"/>
      <c r="I1052" s="80"/>
      <c r="J1052" s="80"/>
      <c r="K1052" s="80"/>
      <c r="L1052" s="80"/>
      <c r="M1052" s="80"/>
      <c r="N1052" s="80"/>
      <c r="O1052" s="80"/>
      <c r="P1052" s="80"/>
      <c r="Q1052" s="80"/>
      <c r="R1052" s="80"/>
      <c r="S1052" s="80"/>
      <c r="T1052" s="80"/>
      <c r="U1052" s="80"/>
      <c r="V1052" s="80"/>
      <c r="W1052" s="80"/>
      <c r="X1052" s="80"/>
      <c r="Y1052" s="80"/>
      <c r="Z1052" s="80"/>
      <c r="AA1052" s="80"/>
      <c r="AB1052" s="80"/>
      <c r="AC1052" s="75"/>
      <c r="AD1052" s="75"/>
      <c r="AE1052" s="75"/>
      <c r="AF1052" s="75"/>
      <c r="AG1052" s="75"/>
      <c r="AH1052" s="75"/>
      <c r="AI1052" s="75"/>
      <c r="AJ1052" s="75"/>
      <c r="AK1052" s="75"/>
      <c r="AL1052" s="75"/>
      <c r="AM1052" s="75"/>
      <c r="AN1052" s="75"/>
      <c r="AO1052" s="76">
        <f t="shared" si="64"/>
        <v>0</v>
      </c>
      <c r="AP1052" s="562"/>
    </row>
    <row r="1053" spans="2:42" s="83" customFormat="1" ht="15">
      <c r="B1053" s="79" t="s">
        <v>76</v>
      </c>
      <c r="C1053" s="82"/>
      <c r="D1053" s="81"/>
      <c r="E1053" s="81"/>
      <c r="F1053" s="81"/>
      <c r="G1053" s="81"/>
      <c r="H1053" s="80"/>
      <c r="I1053" s="80"/>
      <c r="J1053" s="80"/>
      <c r="K1053" s="80"/>
      <c r="L1053" s="80"/>
      <c r="M1053" s="80"/>
      <c r="N1053" s="80"/>
      <c r="O1053" s="80"/>
      <c r="P1053" s="80"/>
      <c r="Q1053" s="80"/>
      <c r="R1053" s="80"/>
      <c r="S1053" s="80"/>
      <c r="T1053" s="80"/>
      <c r="U1053" s="80"/>
      <c r="V1053" s="80"/>
      <c r="W1053" s="80"/>
      <c r="X1053" s="80"/>
      <c r="Y1053" s="80"/>
      <c r="Z1053" s="80"/>
      <c r="AA1053" s="80"/>
      <c r="AB1053" s="80"/>
      <c r="AC1053" s="75"/>
      <c r="AD1053" s="75"/>
      <c r="AE1053" s="75"/>
      <c r="AF1053" s="75"/>
      <c r="AG1053" s="75"/>
      <c r="AH1053" s="75"/>
      <c r="AI1053" s="75"/>
      <c r="AJ1053" s="75"/>
      <c r="AK1053" s="75"/>
      <c r="AL1053" s="75"/>
      <c r="AM1053" s="75"/>
      <c r="AN1053" s="75"/>
      <c r="AO1053" s="76">
        <f t="shared" si="64"/>
        <v>0</v>
      </c>
      <c r="AP1053" s="562"/>
    </row>
    <row r="1054" spans="2:42" s="83" customFormat="1" ht="15">
      <c r="B1054" s="79" t="s">
        <v>76</v>
      </c>
      <c r="C1054" s="82"/>
      <c r="D1054" s="81"/>
      <c r="E1054" s="81"/>
      <c r="F1054" s="81"/>
      <c r="G1054" s="81"/>
      <c r="H1054" s="80"/>
      <c r="I1054" s="80"/>
      <c r="J1054" s="80"/>
      <c r="K1054" s="80"/>
      <c r="L1054" s="80"/>
      <c r="M1054" s="80"/>
      <c r="N1054" s="80"/>
      <c r="O1054" s="80"/>
      <c r="P1054" s="80"/>
      <c r="Q1054" s="80"/>
      <c r="R1054" s="80"/>
      <c r="S1054" s="80"/>
      <c r="T1054" s="80"/>
      <c r="U1054" s="80"/>
      <c r="V1054" s="80"/>
      <c r="W1054" s="80"/>
      <c r="X1054" s="80"/>
      <c r="Y1054" s="80"/>
      <c r="Z1054" s="80"/>
      <c r="AA1054" s="80"/>
      <c r="AB1054" s="80"/>
      <c r="AC1054" s="75"/>
      <c r="AD1054" s="75"/>
      <c r="AE1054" s="75"/>
      <c r="AF1054" s="75"/>
      <c r="AG1054" s="75"/>
      <c r="AH1054" s="75"/>
      <c r="AI1054" s="75"/>
      <c r="AJ1054" s="75"/>
      <c r="AK1054" s="75"/>
      <c r="AL1054" s="75"/>
      <c r="AM1054" s="75"/>
      <c r="AN1054" s="75"/>
      <c r="AO1054" s="76">
        <f t="shared" si="64"/>
        <v>0</v>
      </c>
      <c r="AP1054" s="562"/>
    </row>
    <row r="1055" spans="2:42" s="83" customFormat="1" ht="15">
      <c r="B1055" s="79" t="s">
        <v>76</v>
      </c>
      <c r="C1055" s="82"/>
      <c r="D1055" s="81"/>
      <c r="E1055" s="81"/>
      <c r="F1055" s="81"/>
      <c r="G1055" s="81"/>
      <c r="H1055" s="80"/>
      <c r="I1055" s="80"/>
      <c r="J1055" s="80"/>
      <c r="K1055" s="80"/>
      <c r="L1055" s="80"/>
      <c r="M1055" s="80"/>
      <c r="N1055" s="80"/>
      <c r="O1055" s="80"/>
      <c r="P1055" s="80"/>
      <c r="Q1055" s="80"/>
      <c r="R1055" s="80"/>
      <c r="S1055" s="80"/>
      <c r="T1055" s="80"/>
      <c r="U1055" s="80"/>
      <c r="V1055" s="80"/>
      <c r="W1055" s="80"/>
      <c r="X1055" s="80"/>
      <c r="Y1055" s="80"/>
      <c r="Z1055" s="80"/>
      <c r="AA1055" s="80"/>
      <c r="AB1055" s="80"/>
      <c r="AC1055" s="75"/>
      <c r="AD1055" s="75"/>
      <c r="AE1055" s="75"/>
      <c r="AF1055" s="75"/>
      <c r="AG1055" s="75"/>
      <c r="AH1055" s="75"/>
      <c r="AI1055" s="75"/>
      <c r="AJ1055" s="75"/>
      <c r="AK1055" s="75"/>
      <c r="AL1055" s="75"/>
      <c r="AM1055" s="75"/>
      <c r="AN1055" s="75"/>
      <c r="AO1055" s="76">
        <f t="shared" ref="AO1055:AO1062" si="66">SUM(I1055:AN1055)</f>
        <v>0</v>
      </c>
      <c r="AP1055" s="562"/>
    </row>
    <row r="1056" spans="2:42" s="83" customFormat="1" ht="15">
      <c r="B1056" s="79" t="s">
        <v>76</v>
      </c>
      <c r="C1056" s="82"/>
      <c r="D1056" s="81"/>
      <c r="E1056" s="81"/>
      <c r="F1056" s="81"/>
      <c r="G1056" s="81"/>
      <c r="H1056" s="80"/>
      <c r="I1056" s="80"/>
      <c r="J1056" s="80"/>
      <c r="K1056" s="80"/>
      <c r="L1056" s="80"/>
      <c r="M1056" s="80"/>
      <c r="N1056" s="80"/>
      <c r="O1056" s="80"/>
      <c r="P1056" s="80"/>
      <c r="Q1056" s="80"/>
      <c r="R1056" s="80"/>
      <c r="S1056" s="80"/>
      <c r="T1056" s="80"/>
      <c r="U1056" s="80"/>
      <c r="V1056" s="80"/>
      <c r="W1056" s="80"/>
      <c r="X1056" s="80"/>
      <c r="Y1056" s="80"/>
      <c r="Z1056" s="80"/>
      <c r="AA1056" s="80"/>
      <c r="AB1056" s="80"/>
      <c r="AC1056" s="75"/>
      <c r="AD1056" s="75"/>
      <c r="AE1056" s="75"/>
      <c r="AF1056" s="75"/>
      <c r="AG1056" s="75"/>
      <c r="AH1056" s="75"/>
      <c r="AI1056" s="75"/>
      <c r="AJ1056" s="75"/>
      <c r="AK1056" s="75"/>
      <c r="AL1056" s="75"/>
      <c r="AM1056" s="75"/>
      <c r="AN1056" s="75"/>
      <c r="AO1056" s="76">
        <f t="shared" si="66"/>
        <v>0</v>
      </c>
      <c r="AP1056" s="562"/>
    </row>
    <row r="1057" spans="2:42" s="83" customFormat="1" ht="15">
      <c r="B1057" s="79" t="s">
        <v>76</v>
      </c>
      <c r="C1057" s="82"/>
      <c r="D1057" s="81"/>
      <c r="E1057" s="81"/>
      <c r="F1057" s="81"/>
      <c r="G1057" s="81"/>
      <c r="H1057" s="80"/>
      <c r="I1057" s="80"/>
      <c r="J1057" s="80"/>
      <c r="K1057" s="80"/>
      <c r="L1057" s="80"/>
      <c r="M1057" s="80"/>
      <c r="N1057" s="80"/>
      <c r="O1057" s="80"/>
      <c r="P1057" s="80"/>
      <c r="Q1057" s="80"/>
      <c r="R1057" s="80"/>
      <c r="S1057" s="80"/>
      <c r="T1057" s="80"/>
      <c r="U1057" s="80"/>
      <c r="V1057" s="80"/>
      <c r="W1057" s="80"/>
      <c r="X1057" s="80"/>
      <c r="Y1057" s="80"/>
      <c r="Z1057" s="80"/>
      <c r="AA1057" s="80"/>
      <c r="AB1057" s="80"/>
      <c r="AC1057" s="75"/>
      <c r="AD1057" s="75"/>
      <c r="AE1057" s="75"/>
      <c r="AF1057" s="75"/>
      <c r="AG1057" s="75"/>
      <c r="AH1057" s="75"/>
      <c r="AI1057" s="75"/>
      <c r="AJ1057" s="75"/>
      <c r="AK1057" s="75"/>
      <c r="AL1057" s="75"/>
      <c r="AM1057" s="75"/>
      <c r="AN1057" s="75"/>
      <c r="AO1057" s="76">
        <f t="shared" si="66"/>
        <v>0</v>
      </c>
      <c r="AP1057" s="562"/>
    </row>
    <row r="1058" spans="2:42" s="83" customFormat="1" ht="15">
      <c r="B1058" s="79" t="s">
        <v>76</v>
      </c>
      <c r="C1058" s="82"/>
      <c r="D1058" s="81"/>
      <c r="E1058" s="81"/>
      <c r="F1058" s="81"/>
      <c r="G1058" s="81"/>
      <c r="H1058" s="80"/>
      <c r="I1058" s="80"/>
      <c r="J1058" s="80"/>
      <c r="K1058" s="80"/>
      <c r="L1058" s="80"/>
      <c r="M1058" s="80"/>
      <c r="N1058" s="80"/>
      <c r="O1058" s="80"/>
      <c r="P1058" s="80"/>
      <c r="Q1058" s="80"/>
      <c r="R1058" s="80"/>
      <c r="S1058" s="80"/>
      <c r="T1058" s="80"/>
      <c r="U1058" s="80"/>
      <c r="V1058" s="80"/>
      <c r="W1058" s="80"/>
      <c r="X1058" s="80"/>
      <c r="Y1058" s="80"/>
      <c r="Z1058" s="80"/>
      <c r="AA1058" s="80"/>
      <c r="AB1058" s="80"/>
      <c r="AC1058" s="75"/>
      <c r="AD1058" s="75"/>
      <c r="AE1058" s="75"/>
      <c r="AF1058" s="75"/>
      <c r="AG1058" s="75"/>
      <c r="AH1058" s="75"/>
      <c r="AI1058" s="75"/>
      <c r="AJ1058" s="75"/>
      <c r="AK1058" s="75"/>
      <c r="AL1058" s="75"/>
      <c r="AM1058" s="75"/>
      <c r="AN1058" s="75"/>
      <c r="AO1058" s="76">
        <f t="shared" si="66"/>
        <v>0</v>
      </c>
      <c r="AP1058" s="562"/>
    </row>
    <row r="1059" spans="2:42" s="83" customFormat="1" ht="15">
      <c r="B1059" s="79" t="s">
        <v>76</v>
      </c>
      <c r="C1059" s="82"/>
      <c r="D1059" s="81"/>
      <c r="E1059" s="81"/>
      <c r="F1059" s="81"/>
      <c r="G1059" s="81"/>
      <c r="H1059" s="80"/>
      <c r="I1059" s="80"/>
      <c r="J1059" s="80"/>
      <c r="K1059" s="80"/>
      <c r="L1059" s="80"/>
      <c r="M1059" s="80"/>
      <c r="N1059" s="80"/>
      <c r="O1059" s="80"/>
      <c r="P1059" s="80"/>
      <c r="Q1059" s="80"/>
      <c r="R1059" s="80"/>
      <c r="S1059" s="80"/>
      <c r="T1059" s="80"/>
      <c r="U1059" s="80"/>
      <c r="V1059" s="80"/>
      <c r="W1059" s="80"/>
      <c r="X1059" s="80"/>
      <c r="Y1059" s="80"/>
      <c r="Z1059" s="80"/>
      <c r="AA1059" s="80"/>
      <c r="AB1059" s="80"/>
      <c r="AC1059" s="75"/>
      <c r="AD1059" s="75"/>
      <c r="AE1059" s="75"/>
      <c r="AF1059" s="75"/>
      <c r="AG1059" s="75"/>
      <c r="AH1059" s="75"/>
      <c r="AI1059" s="75"/>
      <c r="AJ1059" s="75"/>
      <c r="AK1059" s="75"/>
      <c r="AL1059" s="75"/>
      <c r="AM1059" s="75"/>
      <c r="AN1059" s="75"/>
      <c r="AO1059" s="76">
        <f t="shared" si="66"/>
        <v>0</v>
      </c>
      <c r="AP1059" s="562"/>
    </row>
    <row r="1060" spans="2:42" s="83" customFormat="1" ht="15">
      <c r="B1060" s="79" t="s">
        <v>76</v>
      </c>
      <c r="C1060" s="82"/>
      <c r="D1060" s="81"/>
      <c r="E1060" s="81"/>
      <c r="F1060" s="81"/>
      <c r="G1060" s="81"/>
      <c r="H1060" s="80"/>
      <c r="I1060" s="80"/>
      <c r="J1060" s="80"/>
      <c r="K1060" s="80"/>
      <c r="L1060" s="80"/>
      <c r="M1060" s="80"/>
      <c r="N1060" s="80"/>
      <c r="O1060" s="80"/>
      <c r="P1060" s="80"/>
      <c r="Q1060" s="80"/>
      <c r="R1060" s="80"/>
      <c r="S1060" s="80"/>
      <c r="T1060" s="80"/>
      <c r="U1060" s="80"/>
      <c r="V1060" s="80"/>
      <c r="W1060" s="80"/>
      <c r="X1060" s="80"/>
      <c r="Y1060" s="80"/>
      <c r="Z1060" s="80"/>
      <c r="AA1060" s="80"/>
      <c r="AB1060" s="80"/>
      <c r="AC1060" s="75"/>
      <c r="AD1060" s="75"/>
      <c r="AE1060" s="75"/>
      <c r="AF1060" s="75"/>
      <c r="AG1060" s="75"/>
      <c r="AH1060" s="75"/>
      <c r="AI1060" s="75"/>
      <c r="AJ1060" s="75"/>
      <c r="AK1060" s="75"/>
      <c r="AL1060" s="75"/>
      <c r="AM1060" s="75"/>
      <c r="AN1060" s="75"/>
      <c r="AO1060" s="76">
        <f t="shared" si="66"/>
        <v>0</v>
      </c>
      <c r="AP1060" s="562"/>
    </row>
    <row r="1061" spans="2:42" s="83" customFormat="1" ht="15">
      <c r="B1061" s="79" t="s">
        <v>76</v>
      </c>
      <c r="C1061" s="82"/>
      <c r="D1061" s="81"/>
      <c r="E1061" s="81"/>
      <c r="F1061" s="81"/>
      <c r="G1061" s="81"/>
      <c r="H1061" s="80"/>
      <c r="I1061" s="80"/>
      <c r="J1061" s="80"/>
      <c r="K1061" s="80"/>
      <c r="L1061" s="80"/>
      <c r="M1061" s="80"/>
      <c r="N1061" s="80"/>
      <c r="O1061" s="80"/>
      <c r="P1061" s="80"/>
      <c r="Q1061" s="80"/>
      <c r="R1061" s="80"/>
      <c r="S1061" s="80"/>
      <c r="T1061" s="80"/>
      <c r="U1061" s="80"/>
      <c r="V1061" s="80"/>
      <c r="W1061" s="80"/>
      <c r="X1061" s="80"/>
      <c r="Y1061" s="80"/>
      <c r="Z1061" s="80"/>
      <c r="AA1061" s="80"/>
      <c r="AB1061" s="80"/>
      <c r="AC1061" s="75"/>
      <c r="AD1061" s="75"/>
      <c r="AE1061" s="75"/>
      <c r="AF1061" s="75"/>
      <c r="AG1061" s="75"/>
      <c r="AH1061" s="75"/>
      <c r="AI1061" s="75"/>
      <c r="AJ1061" s="75"/>
      <c r="AK1061" s="75"/>
      <c r="AL1061" s="75"/>
      <c r="AM1061" s="75"/>
      <c r="AN1061" s="75"/>
      <c r="AO1061" s="76">
        <f t="shared" si="66"/>
        <v>0</v>
      </c>
      <c r="AP1061" s="562"/>
    </row>
    <row r="1062" spans="2:42" s="83" customFormat="1">
      <c r="B1062" s="79" t="s">
        <v>76</v>
      </c>
      <c r="C1062" s="82"/>
      <c r="D1062" s="81"/>
      <c r="E1062" s="81"/>
      <c r="F1062" s="81"/>
      <c r="G1062" s="81"/>
      <c r="H1062" s="80"/>
      <c r="I1062" s="80"/>
      <c r="J1062" s="80"/>
      <c r="K1062" s="80"/>
      <c r="L1062" s="80"/>
      <c r="M1062" s="80"/>
      <c r="N1062" s="80"/>
      <c r="O1062" s="80"/>
      <c r="P1062" s="80"/>
      <c r="Q1062" s="80"/>
      <c r="R1062" s="80"/>
      <c r="S1062" s="80"/>
      <c r="T1062" s="80"/>
      <c r="U1062" s="80"/>
      <c r="V1062" s="80"/>
      <c r="W1062" s="80"/>
      <c r="X1062" s="80"/>
      <c r="Y1062" s="80"/>
      <c r="Z1062" s="80"/>
      <c r="AA1062" s="80"/>
      <c r="AB1062" s="80"/>
      <c r="AC1062" s="75"/>
      <c r="AD1062" s="75"/>
      <c r="AE1062" s="75"/>
      <c r="AF1062" s="75"/>
      <c r="AG1062" s="75"/>
      <c r="AH1062" s="75"/>
      <c r="AI1062" s="166"/>
      <c r="AJ1062" s="166"/>
      <c r="AK1062" s="166"/>
      <c r="AL1062" s="166"/>
      <c r="AM1062" s="166"/>
      <c r="AN1062" s="166"/>
      <c r="AO1062" s="76">
        <f t="shared" si="66"/>
        <v>0</v>
      </c>
      <c r="AP1062" s="562"/>
    </row>
    <row r="1063" spans="2:42" s="83" customFormat="1">
      <c r="B1063" s="79" t="s">
        <v>76</v>
      </c>
      <c r="C1063" s="82"/>
      <c r="D1063" s="81"/>
      <c r="E1063" s="81"/>
      <c r="F1063" s="81"/>
      <c r="G1063" s="81"/>
      <c r="H1063" s="80"/>
      <c r="I1063" s="80"/>
      <c r="J1063" s="80"/>
      <c r="K1063" s="80"/>
      <c r="L1063" s="80"/>
      <c r="M1063" s="80"/>
      <c r="N1063" s="80"/>
      <c r="O1063" s="80"/>
      <c r="P1063" s="80"/>
      <c r="Q1063" s="80"/>
      <c r="R1063" s="80"/>
      <c r="S1063" s="80"/>
      <c r="T1063" s="80"/>
      <c r="U1063" s="80"/>
      <c r="V1063" s="80"/>
      <c r="W1063" s="80"/>
      <c r="X1063" s="80"/>
      <c r="Y1063" s="80"/>
      <c r="Z1063" s="80"/>
      <c r="AA1063" s="80"/>
      <c r="AB1063" s="80"/>
      <c r="AC1063" s="75"/>
      <c r="AD1063" s="75"/>
      <c r="AE1063" s="75"/>
      <c r="AF1063" s="75"/>
      <c r="AG1063" s="75"/>
      <c r="AH1063" s="75"/>
      <c r="AI1063" s="166"/>
      <c r="AJ1063" s="166"/>
      <c r="AK1063" s="166"/>
      <c r="AL1063" s="166"/>
      <c r="AM1063" s="166"/>
      <c r="AN1063" s="166"/>
      <c r="AO1063" s="76">
        <f t="shared" ref="AO1063:AO1074" si="67">SUM(I1063:AN1063)</f>
        <v>0</v>
      </c>
      <c r="AP1063" s="562"/>
    </row>
    <row r="1064" spans="2:42" s="83" customFormat="1">
      <c r="B1064" s="79" t="s">
        <v>76</v>
      </c>
      <c r="C1064" s="82"/>
      <c r="D1064" s="81"/>
      <c r="E1064" s="81"/>
      <c r="F1064" s="81"/>
      <c r="G1064" s="81"/>
      <c r="H1064" s="80"/>
      <c r="I1064" s="80"/>
      <c r="J1064" s="80"/>
      <c r="K1064" s="80"/>
      <c r="L1064" s="80"/>
      <c r="M1064" s="80"/>
      <c r="N1064" s="80"/>
      <c r="O1064" s="80"/>
      <c r="P1064" s="80"/>
      <c r="Q1064" s="80"/>
      <c r="R1064" s="80"/>
      <c r="S1064" s="80"/>
      <c r="T1064" s="80"/>
      <c r="U1064" s="80"/>
      <c r="V1064" s="80"/>
      <c r="W1064" s="80"/>
      <c r="X1064" s="80"/>
      <c r="Y1064" s="80"/>
      <c r="Z1064" s="80"/>
      <c r="AA1064" s="80"/>
      <c r="AB1064" s="80"/>
      <c r="AC1064" s="75"/>
      <c r="AD1064" s="75"/>
      <c r="AE1064" s="75"/>
      <c r="AF1064" s="75"/>
      <c r="AG1064" s="75"/>
      <c r="AH1064" s="75"/>
      <c r="AI1064" s="166"/>
      <c r="AJ1064" s="166"/>
      <c r="AK1064" s="166"/>
      <c r="AL1064" s="166"/>
      <c r="AM1064" s="166"/>
      <c r="AN1064" s="166"/>
      <c r="AO1064" s="76">
        <f t="shared" si="67"/>
        <v>0</v>
      </c>
      <c r="AP1064" s="562"/>
    </row>
    <row r="1065" spans="2:42" s="83" customFormat="1">
      <c r="B1065" s="79" t="s">
        <v>76</v>
      </c>
      <c r="C1065" s="82"/>
      <c r="D1065" s="81"/>
      <c r="E1065" s="81"/>
      <c r="F1065" s="81"/>
      <c r="G1065" s="81"/>
      <c r="H1065" s="80"/>
      <c r="I1065" s="80"/>
      <c r="J1065" s="80"/>
      <c r="K1065" s="80"/>
      <c r="L1065" s="80"/>
      <c r="M1065" s="80"/>
      <c r="N1065" s="80"/>
      <c r="O1065" s="80"/>
      <c r="P1065" s="80"/>
      <c r="Q1065" s="80"/>
      <c r="R1065" s="80"/>
      <c r="S1065" s="80"/>
      <c r="T1065" s="80"/>
      <c r="U1065" s="80"/>
      <c r="V1065" s="80"/>
      <c r="W1065" s="80"/>
      <c r="X1065" s="80"/>
      <c r="Y1065" s="80"/>
      <c r="Z1065" s="80"/>
      <c r="AA1065" s="80"/>
      <c r="AB1065" s="80"/>
      <c r="AC1065" s="75"/>
      <c r="AD1065" s="75"/>
      <c r="AE1065" s="75"/>
      <c r="AF1065" s="75"/>
      <c r="AG1065" s="75"/>
      <c r="AH1065" s="75"/>
      <c r="AI1065" s="166"/>
      <c r="AJ1065" s="166"/>
      <c r="AK1065" s="166"/>
      <c r="AL1065" s="166"/>
      <c r="AM1065" s="166"/>
      <c r="AN1065" s="166"/>
      <c r="AO1065" s="76">
        <f t="shared" si="67"/>
        <v>0</v>
      </c>
      <c r="AP1065" s="562"/>
    </row>
    <row r="1066" spans="2:42" s="83" customFormat="1">
      <c r="B1066" s="79" t="s">
        <v>76</v>
      </c>
      <c r="C1066" s="82"/>
      <c r="D1066" s="81"/>
      <c r="E1066" s="81"/>
      <c r="F1066" s="81"/>
      <c r="G1066" s="81"/>
      <c r="H1066" s="80"/>
      <c r="I1066" s="80"/>
      <c r="J1066" s="80"/>
      <c r="K1066" s="80"/>
      <c r="L1066" s="80"/>
      <c r="M1066" s="80"/>
      <c r="N1066" s="80"/>
      <c r="O1066" s="80"/>
      <c r="P1066" s="80"/>
      <c r="Q1066" s="80"/>
      <c r="R1066" s="80"/>
      <c r="S1066" s="80"/>
      <c r="T1066" s="80"/>
      <c r="U1066" s="80"/>
      <c r="V1066" s="80"/>
      <c r="W1066" s="80"/>
      <c r="X1066" s="80"/>
      <c r="Y1066" s="80"/>
      <c r="Z1066" s="80"/>
      <c r="AA1066" s="80"/>
      <c r="AB1066" s="80"/>
      <c r="AC1066" s="75"/>
      <c r="AD1066" s="75"/>
      <c r="AE1066" s="75"/>
      <c r="AF1066" s="75"/>
      <c r="AG1066" s="75"/>
      <c r="AH1066" s="75"/>
      <c r="AI1066" s="166"/>
      <c r="AJ1066" s="166"/>
      <c r="AK1066" s="166"/>
      <c r="AL1066" s="166"/>
      <c r="AM1066" s="166"/>
      <c r="AN1066" s="166"/>
      <c r="AO1066" s="76">
        <f t="shared" si="67"/>
        <v>0</v>
      </c>
      <c r="AP1066" s="562"/>
    </row>
    <row r="1067" spans="2:42" s="83" customFormat="1">
      <c r="B1067" s="79" t="s">
        <v>76</v>
      </c>
      <c r="C1067" s="82"/>
      <c r="D1067" s="81"/>
      <c r="E1067" s="81"/>
      <c r="F1067" s="81"/>
      <c r="G1067" s="81"/>
      <c r="H1067" s="80"/>
      <c r="I1067" s="80"/>
      <c r="J1067" s="80"/>
      <c r="K1067" s="80"/>
      <c r="L1067" s="80"/>
      <c r="M1067" s="80"/>
      <c r="N1067" s="80"/>
      <c r="O1067" s="80"/>
      <c r="P1067" s="80"/>
      <c r="Q1067" s="80"/>
      <c r="R1067" s="80"/>
      <c r="S1067" s="80"/>
      <c r="T1067" s="80"/>
      <c r="U1067" s="80"/>
      <c r="V1067" s="80"/>
      <c r="W1067" s="80"/>
      <c r="X1067" s="80"/>
      <c r="Y1067" s="80"/>
      <c r="Z1067" s="80"/>
      <c r="AA1067" s="80"/>
      <c r="AB1067" s="80"/>
      <c r="AC1067" s="75"/>
      <c r="AD1067" s="75"/>
      <c r="AE1067" s="75"/>
      <c r="AF1067" s="75"/>
      <c r="AG1067" s="75"/>
      <c r="AH1067" s="75"/>
      <c r="AI1067" s="166"/>
      <c r="AJ1067" s="166"/>
      <c r="AK1067" s="166"/>
      <c r="AL1067" s="166"/>
      <c r="AM1067" s="166"/>
      <c r="AN1067" s="166"/>
      <c r="AO1067" s="76">
        <f t="shared" si="67"/>
        <v>0</v>
      </c>
      <c r="AP1067" s="191"/>
    </row>
    <row r="1068" spans="2:42" s="83" customFormat="1">
      <c r="B1068" s="79" t="s">
        <v>76</v>
      </c>
      <c r="C1068" s="82"/>
      <c r="D1068" s="81"/>
      <c r="E1068" s="81"/>
      <c r="F1068" s="81"/>
      <c r="G1068" s="81"/>
      <c r="H1068" s="80"/>
      <c r="I1068" s="80"/>
      <c r="J1068" s="80"/>
      <c r="K1068" s="80"/>
      <c r="L1068" s="80"/>
      <c r="M1068" s="80"/>
      <c r="N1068" s="80"/>
      <c r="O1068" s="80"/>
      <c r="P1068" s="80"/>
      <c r="Q1068" s="80"/>
      <c r="R1068" s="80"/>
      <c r="S1068" s="80"/>
      <c r="T1068" s="80"/>
      <c r="U1068" s="80"/>
      <c r="V1068" s="80"/>
      <c r="W1068" s="80"/>
      <c r="X1068" s="80"/>
      <c r="Y1068" s="80"/>
      <c r="Z1068" s="80"/>
      <c r="AA1068" s="80"/>
      <c r="AB1068" s="80"/>
      <c r="AC1068" s="75"/>
      <c r="AD1068" s="75"/>
      <c r="AE1068" s="75"/>
      <c r="AF1068" s="75"/>
      <c r="AG1068" s="75"/>
      <c r="AH1068" s="75"/>
      <c r="AI1068" s="166"/>
      <c r="AJ1068" s="166"/>
      <c r="AK1068" s="166"/>
      <c r="AL1068" s="166"/>
      <c r="AM1068" s="166"/>
      <c r="AN1068" s="166"/>
      <c r="AO1068" s="76">
        <f t="shared" si="67"/>
        <v>0</v>
      </c>
      <c r="AP1068" s="191"/>
    </row>
    <row r="1069" spans="2:42" s="83" customFormat="1">
      <c r="B1069" s="79" t="s">
        <v>76</v>
      </c>
      <c r="C1069" s="82"/>
      <c r="D1069" s="81"/>
      <c r="E1069" s="81"/>
      <c r="F1069" s="81"/>
      <c r="G1069" s="81"/>
      <c r="H1069" s="80"/>
      <c r="I1069" s="80"/>
      <c r="J1069" s="80"/>
      <c r="K1069" s="80"/>
      <c r="L1069" s="80"/>
      <c r="M1069" s="80"/>
      <c r="N1069" s="80"/>
      <c r="O1069" s="80"/>
      <c r="P1069" s="80"/>
      <c r="Q1069" s="80"/>
      <c r="R1069" s="80"/>
      <c r="S1069" s="80"/>
      <c r="T1069" s="80"/>
      <c r="U1069" s="80"/>
      <c r="V1069" s="80"/>
      <c r="W1069" s="80"/>
      <c r="X1069" s="80"/>
      <c r="Y1069" s="80"/>
      <c r="Z1069" s="80"/>
      <c r="AA1069" s="80"/>
      <c r="AB1069" s="80"/>
      <c r="AC1069" s="75"/>
      <c r="AD1069" s="75"/>
      <c r="AE1069" s="75"/>
      <c r="AF1069" s="75"/>
      <c r="AG1069" s="75"/>
      <c r="AH1069" s="75"/>
      <c r="AI1069" s="166"/>
      <c r="AJ1069" s="166"/>
      <c r="AK1069" s="166"/>
      <c r="AL1069" s="166"/>
      <c r="AM1069" s="166"/>
      <c r="AN1069" s="166"/>
      <c r="AO1069" s="76">
        <f t="shared" si="67"/>
        <v>0</v>
      </c>
      <c r="AP1069" s="191"/>
    </row>
    <row r="1070" spans="2:42" s="83" customFormat="1">
      <c r="B1070" s="79" t="s">
        <v>76</v>
      </c>
      <c r="C1070" s="82"/>
      <c r="D1070" s="81"/>
      <c r="E1070" s="81"/>
      <c r="F1070" s="81"/>
      <c r="G1070" s="81"/>
      <c r="H1070" s="80"/>
      <c r="I1070" s="80"/>
      <c r="J1070" s="80"/>
      <c r="K1070" s="80"/>
      <c r="L1070" s="80"/>
      <c r="M1070" s="80"/>
      <c r="N1070" s="80"/>
      <c r="O1070" s="80"/>
      <c r="P1070" s="80"/>
      <c r="Q1070" s="80"/>
      <c r="R1070" s="80"/>
      <c r="S1070" s="80"/>
      <c r="T1070" s="80"/>
      <c r="U1070" s="80"/>
      <c r="V1070" s="80"/>
      <c r="W1070" s="80"/>
      <c r="X1070" s="80"/>
      <c r="Y1070" s="80"/>
      <c r="Z1070" s="80"/>
      <c r="AA1070" s="80"/>
      <c r="AB1070" s="80"/>
      <c r="AC1070" s="75"/>
      <c r="AD1070" s="75"/>
      <c r="AE1070" s="75"/>
      <c r="AF1070" s="75"/>
      <c r="AG1070" s="75"/>
      <c r="AH1070" s="75"/>
      <c r="AI1070" s="166"/>
      <c r="AJ1070" s="166"/>
      <c r="AK1070" s="166"/>
      <c r="AL1070" s="166"/>
      <c r="AM1070" s="166"/>
      <c r="AN1070" s="166"/>
      <c r="AO1070" s="76">
        <f t="shared" si="67"/>
        <v>0</v>
      </c>
      <c r="AP1070" s="191"/>
    </row>
    <row r="1071" spans="2:42" s="83" customFormat="1">
      <c r="B1071" s="79" t="s">
        <v>76</v>
      </c>
      <c r="C1071" s="82"/>
      <c r="D1071" s="81"/>
      <c r="E1071" s="81"/>
      <c r="F1071" s="81"/>
      <c r="G1071" s="81"/>
      <c r="H1071" s="80"/>
      <c r="I1071" s="80"/>
      <c r="J1071" s="80"/>
      <c r="K1071" s="80"/>
      <c r="L1071" s="80"/>
      <c r="M1071" s="80"/>
      <c r="N1071" s="80"/>
      <c r="O1071" s="80"/>
      <c r="P1071" s="80"/>
      <c r="Q1071" s="80"/>
      <c r="R1071" s="80"/>
      <c r="S1071" s="80"/>
      <c r="T1071" s="80"/>
      <c r="U1071" s="80"/>
      <c r="V1071" s="80"/>
      <c r="W1071" s="80"/>
      <c r="X1071" s="80"/>
      <c r="Y1071" s="80"/>
      <c r="Z1071" s="80"/>
      <c r="AA1071" s="80"/>
      <c r="AB1071" s="80"/>
      <c r="AC1071" s="75"/>
      <c r="AD1071" s="75"/>
      <c r="AE1071" s="75"/>
      <c r="AF1071" s="75"/>
      <c r="AG1071" s="75"/>
      <c r="AH1071" s="75"/>
      <c r="AI1071" s="166"/>
      <c r="AJ1071" s="166"/>
      <c r="AK1071" s="166"/>
      <c r="AL1071" s="166"/>
      <c r="AM1071" s="166"/>
      <c r="AN1071" s="166"/>
      <c r="AO1071" s="76">
        <f t="shared" si="67"/>
        <v>0</v>
      </c>
      <c r="AP1071" s="191"/>
    </row>
    <row r="1072" spans="2:42" s="83" customFormat="1">
      <c r="B1072" s="79" t="s">
        <v>76</v>
      </c>
      <c r="C1072" s="82"/>
      <c r="D1072" s="81"/>
      <c r="E1072" s="81"/>
      <c r="F1072" s="81"/>
      <c r="G1072" s="81"/>
      <c r="H1072" s="80"/>
      <c r="I1072" s="80"/>
      <c r="J1072" s="80"/>
      <c r="K1072" s="80"/>
      <c r="L1072" s="80"/>
      <c r="M1072" s="80"/>
      <c r="N1072" s="80"/>
      <c r="O1072" s="80"/>
      <c r="P1072" s="80"/>
      <c r="Q1072" s="80"/>
      <c r="R1072" s="80"/>
      <c r="S1072" s="80"/>
      <c r="T1072" s="80"/>
      <c r="U1072" s="80"/>
      <c r="V1072" s="80"/>
      <c r="W1072" s="80"/>
      <c r="X1072" s="80"/>
      <c r="Y1072" s="80"/>
      <c r="Z1072" s="80"/>
      <c r="AA1072" s="80"/>
      <c r="AB1072" s="80"/>
      <c r="AC1072" s="75"/>
      <c r="AD1072" s="75"/>
      <c r="AE1072" s="75"/>
      <c r="AF1072" s="75"/>
      <c r="AG1072" s="75"/>
      <c r="AH1072" s="75"/>
      <c r="AI1072" s="166"/>
      <c r="AJ1072" s="166"/>
      <c r="AK1072" s="166"/>
      <c r="AL1072" s="166"/>
      <c r="AM1072" s="166"/>
      <c r="AN1072" s="166"/>
      <c r="AO1072" s="76">
        <f t="shared" si="67"/>
        <v>0</v>
      </c>
      <c r="AP1072" s="191"/>
    </row>
    <row r="1073" spans="2:42" s="83" customFormat="1">
      <c r="B1073" s="79" t="s">
        <v>76</v>
      </c>
      <c r="C1073" s="82"/>
      <c r="D1073" s="81"/>
      <c r="E1073" s="81"/>
      <c r="F1073" s="81"/>
      <c r="G1073" s="81"/>
      <c r="H1073" s="80"/>
      <c r="I1073" s="80"/>
      <c r="J1073" s="80"/>
      <c r="K1073" s="80"/>
      <c r="L1073" s="80"/>
      <c r="M1073" s="80"/>
      <c r="N1073" s="80"/>
      <c r="O1073" s="80"/>
      <c r="P1073" s="80"/>
      <c r="Q1073" s="80"/>
      <c r="R1073" s="80"/>
      <c r="S1073" s="80"/>
      <c r="T1073" s="80"/>
      <c r="U1073" s="80"/>
      <c r="V1073" s="80"/>
      <c r="W1073" s="80"/>
      <c r="X1073" s="80"/>
      <c r="Y1073" s="80"/>
      <c r="Z1073" s="80"/>
      <c r="AA1073" s="80"/>
      <c r="AB1073" s="80"/>
      <c r="AC1073" s="75"/>
      <c r="AD1073" s="75"/>
      <c r="AE1073" s="75"/>
      <c r="AF1073" s="75"/>
      <c r="AG1073" s="75"/>
      <c r="AH1073" s="75"/>
      <c r="AI1073" s="166"/>
      <c r="AJ1073" s="166"/>
      <c r="AK1073" s="166"/>
      <c r="AL1073" s="166"/>
      <c r="AM1073" s="166"/>
      <c r="AN1073" s="166"/>
      <c r="AO1073" s="76">
        <f t="shared" si="67"/>
        <v>0</v>
      </c>
      <c r="AP1073" s="191"/>
    </row>
    <row r="1074" spans="2:42" s="83" customFormat="1">
      <c r="B1074" s="79" t="s">
        <v>76</v>
      </c>
      <c r="C1074" s="82"/>
      <c r="D1074" s="81"/>
      <c r="E1074" s="81"/>
      <c r="F1074" s="81"/>
      <c r="G1074" s="81"/>
      <c r="H1074" s="80"/>
      <c r="I1074" s="80"/>
      <c r="J1074" s="80"/>
      <c r="K1074" s="80"/>
      <c r="L1074" s="80"/>
      <c r="M1074" s="80"/>
      <c r="N1074" s="80"/>
      <c r="O1074" s="80"/>
      <c r="P1074" s="80"/>
      <c r="Q1074" s="80"/>
      <c r="R1074" s="80"/>
      <c r="S1074" s="80"/>
      <c r="T1074" s="80"/>
      <c r="U1074" s="80"/>
      <c r="V1074" s="80"/>
      <c r="W1074" s="80"/>
      <c r="X1074" s="80"/>
      <c r="Y1074" s="80"/>
      <c r="Z1074" s="80"/>
      <c r="AA1074" s="80"/>
      <c r="AB1074" s="80"/>
      <c r="AC1074" s="75"/>
      <c r="AD1074" s="75"/>
      <c r="AE1074" s="75"/>
      <c r="AF1074" s="75"/>
      <c r="AG1074" s="75"/>
      <c r="AH1074" s="75"/>
      <c r="AI1074" s="166"/>
      <c r="AJ1074" s="166"/>
      <c r="AK1074" s="166"/>
      <c r="AL1074" s="166"/>
      <c r="AM1074" s="166"/>
      <c r="AN1074" s="166"/>
      <c r="AO1074" s="76">
        <f t="shared" si="67"/>
        <v>0</v>
      </c>
      <c r="AP1074" s="191"/>
    </row>
    <row r="1075" spans="2:42" s="83" customFormat="1">
      <c r="B1075" s="79" t="s">
        <v>76</v>
      </c>
      <c r="C1075" s="82"/>
      <c r="D1075" s="81"/>
      <c r="E1075" s="81"/>
      <c r="F1075" s="81"/>
      <c r="G1075" s="81"/>
      <c r="H1075" s="80"/>
      <c r="I1075" s="80"/>
      <c r="J1075" s="80"/>
      <c r="K1075" s="80"/>
      <c r="L1075" s="80"/>
      <c r="M1075" s="80"/>
      <c r="N1075" s="80"/>
      <c r="O1075" s="80"/>
      <c r="P1075" s="80"/>
      <c r="Q1075" s="80"/>
      <c r="R1075" s="80"/>
      <c r="S1075" s="80"/>
      <c r="T1075" s="80"/>
      <c r="U1075" s="80"/>
      <c r="V1075" s="80"/>
      <c r="W1075" s="80"/>
      <c r="X1075" s="80"/>
      <c r="Y1075" s="80"/>
      <c r="Z1075" s="80"/>
      <c r="AA1075" s="80"/>
      <c r="AB1075" s="80"/>
      <c r="AC1075" s="75"/>
      <c r="AD1075" s="75"/>
      <c r="AE1075" s="75"/>
      <c r="AF1075" s="75"/>
      <c r="AG1075" s="75"/>
      <c r="AH1075" s="75"/>
      <c r="AI1075" s="166"/>
      <c r="AJ1075" s="166"/>
      <c r="AK1075" s="166"/>
      <c r="AL1075" s="166"/>
      <c r="AM1075" s="166"/>
      <c r="AN1075" s="166"/>
      <c r="AO1075" s="76">
        <f>SUM(I1075:AN1075)</f>
        <v>0</v>
      </c>
      <c r="AP1075" s="191"/>
    </row>
    <row r="1076" spans="2:42" s="83" customFormat="1" ht="16.5" thickBot="1">
      <c r="B1076" s="79" t="s">
        <v>76</v>
      </c>
      <c r="C1076" s="82"/>
      <c r="D1076" s="81"/>
      <c r="E1076" s="81"/>
      <c r="F1076" s="81"/>
      <c r="G1076" s="81"/>
      <c r="H1076" s="80"/>
      <c r="I1076" s="80"/>
      <c r="J1076" s="80"/>
      <c r="K1076" s="80"/>
      <c r="L1076" s="80"/>
      <c r="M1076" s="80"/>
      <c r="N1076" s="80"/>
      <c r="O1076" s="80"/>
      <c r="P1076" s="80"/>
      <c r="Q1076" s="80"/>
      <c r="R1076" s="80"/>
      <c r="S1076" s="80"/>
      <c r="T1076" s="80"/>
      <c r="U1076" s="80"/>
      <c r="V1076" s="80"/>
      <c r="W1076" s="80"/>
      <c r="X1076" s="80"/>
      <c r="Y1076" s="80"/>
      <c r="Z1076" s="80"/>
      <c r="AA1076" s="80"/>
      <c r="AB1076" s="80"/>
      <c r="AC1076" s="75"/>
      <c r="AD1076" s="75"/>
      <c r="AE1076" s="75"/>
      <c r="AF1076" s="75"/>
      <c r="AG1076" s="75"/>
      <c r="AH1076" s="75"/>
      <c r="AI1076" s="166"/>
      <c r="AJ1076" s="166"/>
      <c r="AK1076" s="166"/>
      <c r="AL1076" s="166"/>
      <c r="AM1076" s="166"/>
      <c r="AN1076" s="166"/>
      <c r="AO1076" s="76">
        <f>SUM(I1076:AN1076)</f>
        <v>0</v>
      </c>
      <c r="AP1076" s="231"/>
    </row>
    <row r="1077" spans="2:42" s="83" customFormat="1">
      <c r="B1077" s="79" t="s">
        <v>76</v>
      </c>
      <c r="C1077" s="82"/>
      <c r="D1077" s="81"/>
      <c r="E1077" s="81"/>
      <c r="F1077" s="81"/>
      <c r="G1077" s="81"/>
      <c r="H1077" s="80"/>
      <c r="I1077" s="80"/>
      <c r="J1077" s="80"/>
      <c r="K1077" s="80"/>
      <c r="L1077" s="80"/>
      <c r="M1077" s="80"/>
      <c r="N1077" s="80"/>
      <c r="O1077" s="80"/>
      <c r="P1077" s="80"/>
      <c r="Q1077" s="80"/>
      <c r="R1077" s="80"/>
      <c r="S1077" s="80"/>
      <c r="T1077" s="80"/>
      <c r="U1077" s="80"/>
      <c r="V1077" s="80"/>
      <c r="W1077" s="80"/>
      <c r="X1077" s="80"/>
      <c r="Y1077" s="80"/>
      <c r="Z1077" s="80"/>
      <c r="AA1077" s="80"/>
      <c r="AB1077" s="80"/>
      <c r="AC1077" s="75"/>
      <c r="AD1077" s="75"/>
      <c r="AE1077" s="75"/>
      <c r="AF1077" s="75"/>
      <c r="AG1077" s="75"/>
      <c r="AH1077" s="75"/>
      <c r="AI1077" s="166"/>
      <c r="AJ1077" s="166"/>
      <c r="AK1077" s="166"/>
      <c r="AL1077" s="166"/>
      <c r="AM1077" s="166"/>
      <c r="AN1077" s="166"/>
      <c r="AO1077" s="76">
        <f>SUM(I1077:AN1077)</f>
        <v>0</v>
      </c>
      <c r="AP1077" s="591">
        <f>SUM(AO1077:AO1116)</f>
        <v>0</v>
      </c>
    </row>
    <row r="1078" spans="2:42" s="83" customFormat="1" ht="15">
      <c r="B1078" s="79" t="s">
        <v>76</v>
      </c>
      <c r="C1078" s="82"/>
      <c r="D1078" s="81"/>
      <c r="E1078" s="81"/>
      <c r="F1078" s="81"/>
      <c r="G1078" s="81"/>
      <c r="H1078" s="80"/>
      <c r="I1078" s="80"/>
      <c r="J1078" s="80"/>
      <c r="K1078" s="80"/>
      <c r="L1078" s="80"/>
      <c r="M1078" s="80"/>
      <c r="N1078" s="80"/>
      <c r="O1078" s="80"/>
      <c r="P1078" s="80"/>
      <c r="Q1078" s="80"/>
      <c r="R1078" s="80"/>
      <c r="S1078" s="80"/>
      <c r="T1078" s="80"/>
      <c r="U1078" s="80"/>
      <c r="V1078" s="80"/>
      <c r="W1078" s="80"/>
      <c r="X1078" s="80"/>
      <c r="Y1078" s="80"/>
      <c r="Z1078" s="80"/>
      <c r="AA1078" s="80"/>
      <c r="AB1078" s="80"/>
      <c r="AC1078" s="75"/>
      <c r="AD1078" s="75"/>
      <c r="AE1078" s="75"/>
      <c r="AF1078" s="75"/>
      <c r="AG1078" s="75"/>
      <c r="AH1078" s="75"/>
      <c r="AI1078" s="75"/>
      <c r="AJ1078" s="75"/>
      <c r="AK1078" s="75"/>
      <c r="AL1078" s="75"/>
      <c r="AM1078" s="75"/>
      <c r="AN1078" s="75"/>
      <c r="AO1078" s="76">
        <f t="shared" ref="AO1078:AO1116" si="68">SUM(I1078:AN1078)</f>
        <v>0</v>
      </c>
      <c r="AP1078" s="592"/>
    </row>
    <row r="1079" spans="2:42" s="83" customFormat="1" ht="15">
      <c r="B1079" s="79" t="s">
        <v>76</v>
      </c>
      <c r="C1079" s="82"/>
      <c r="D1079" s="81"/>
      <c r="E1079" s="81"/>
      <c r="F1079" s="81"/>
      <c r="G1079" s="81"/>
      <c r="H1079" s="80"/>
      <c r="I1079" s="80"/>
      <c r="J1079" s="80"/>
      <c r="K1079" s="80"/>
      <c r="L1079" s="80"/>
      <c r="M1079" s="80"/>
      <c r="N1079" s="80"/>
      <c r="O1079" s="80"/>
      <c r="P1079" s="80"/>
      <c r="Q1079" s="80"/>
      <c r="R1079" s="80"/>
      <c r="S1079" s="80"/>
      <c r="T1079" s="80"/>
      <c r="U1079" s="80"/>
      <c r="V1079" s="80"/>
      <c r="W1079" s="80"/>
      <c r="X1079" s="80"/>
      <c r="Y1079" s="80"/>
      <c r="Z1079" s="80"/>
      <c r="AA1079" s="80"/>
      <c r="AB1079" s="80"/>
      <c r="AC1079" s="75"/>
      <c r="AD1079" s="75"/>
      <c r="AE1079" s="75"/>
      <c r="AF1079" s="75"/>
      <c r="AG1079" s="75"/>
      <c r="AH1079" s="75"/>
      <c r="AI1079" s="75"/>
      <c r="AJ1079" s="75"/>
      <c r="AK1079" s="75"/>
      <c r="AL1079" s="75"/>
      <c r="AM1079" s="75"/>
      <c r="AN1079" s="75"/>
      <c r="AO1079" s="76">
        <f t="shared" si="68"/>
        <v>0</v>
      </c>
      <c r="AP1079" s="592"/>
    </row>
    <row r="1080" spans="2:42" s="83" customFormat="1" ht="15">
      <c r="B1080" s="79" t="s">
        <v>76</v>
      </c>
      <c r="C1080" s="82"/>
      <c r="D1080" s="81"/>
      <c r="E1080" s="81"/>
      <c r="F1080" s="81"/>
      <c r="G1080" s="81"/>
      <c r="H1080" s="80"/>
      <c r="I1080" s="80"/>
      <c r="J1080" s="80"/>
      <c r="K1080" s="80"/>
      <c r="L1080" s="80"/>
      <c r="M1080" s="80"/>
      <c r="N1080" s="80"/>
      <c r="O1080" s="80"/>
      <c r="P1080" s="80"/>
      <c r="Q1080" s="80"/>
      <c r="R1080" s="80"/>
      <c r="S1080" s="80"/>
      <c r="T1080" s="80"/>
      <c r="U1080" s="80"/>
      <c r="V1080" s="80"/>
      <c r="W1080" s="80"/>
      <c r="X1080" s="80"/>
      <c r="Y1080" s="80"/>
      <c r="Z1080" s="80"/>
      <c r="AA1080" s="80"/>
      <c r="AB1080" s="80"/>
      <c r="AC1080" s="75"/>
      <c r="AD1080" s="75"/>
      <c r="AE1080" s="75"/>
      <c r="AF1080" s="75"/>
      <c r="AG1080" s="75"/>
      <c r="AH1080" s="75"/>
      <c r="AI1080" s="75"/>
      <c r="AJ1080" s="75"/>
      <c r="AK1080" s="75"/>
      <c r="AL1080" s="75"/>
      <c r="AM1080" s="75"/>
      <c r="AN1080" s="75"/>
      <c r="AO1080" s="76">
        <f t="shared" si="68"/>
        <v>0</v>
      </c>
      <c r="AP1080" s="592"/>
    </row>
    <row r="1081" spans="2:42" s="83" customFormat="1" ht="15">
      <c r="B1081" s="79" t="s">
        <v>76</v>
      </c>
      <c r="C1081" s="82"/>
      <c r="D1081" s="81"/>
      <c r="E1081" s="81"/>
      <c r="F1081" s="81"/>
      <c r="G1081" s="81"/>
      <c r="H1081" s="80"/>
      <c r="I1081" s="80"/>
      <c r="J1081" s="80"/>
      <c r="K1081" s="80"/>
      <c r="L1081" s="80"/>
      <c r="M1081" s="80"/>
      <c r="N1081" s="80"/>
      <c r="O1081" s="80"/>
      <c r="P1081" s="80"/>
      <c r="Q1081" s="80"/>
      <c r="R1081" s="80"/>
      <c r="S1081" s="80"/>
      <c r="T1081" s="80"/>
      <c r="U1081" s="80"/>
      <c r="V1081" s="80"/>
      <c r="W1081" s="80"/>
      <c r="X1081" s="80"/>
      <c r="Y1081" s="80"/>
      <c r="Z1081" s="80"/>
      <c r="AA1081" s="80"/>
      <c r="AB1081" s="80"/>
      <c r="AC1081" s="75"/>
      <c r="AD1081" s="75"/>
      <c r="AE1081" s="75"/>
      <c r="AF1081" s="75"/>
      <c r="AG1081" s="75"/>
      <c r="AH1081" s="75"/>
      <c r="AI1081" s="75"/>
      <c r="AJ1081" s="75"/>
      <c r="AK1081" s="75"/>
      <c r="AL1081" s="75"/>
      <c r="AM1081" s="75"/>
      <c r="AN1081" s="75"/>
      <c r="AO1081" s="76">
        <f t="shared" si="68"/>
        <v>0</v>
      </c>
      <c r="AP1081" s="592"/>
    </row>
    <row r="1082" spans="2:42" s="83" customFormat="1" ht="15">
      <c r="B1082" s="79" t="s">
        <v>76</v>
      </c>
      <c r="C1082" s="82"/>
      <c r="D1082" s="81"/>
      <c r="E1082" s="81"/>
      <c r="F1082" s="81"/>
      <c r="G1082" s="81"/>
      <c r="H1082" s="80"/>
      <c r="I1082" s="80"/>
      <c r="J1082" s="80"/>
      <c r="K1082" s="80"/>
      <c r="L1082" s="80"/>
      <c r="M1082" s="80"/>
      <c r="N1082" s="80"/>
      <c r="O1082" s="80"/>
      <c r="P1082" s="80"/>
      <c r="Q1082" s="80"/>
      <c r="R1082" s="80"/>
      <c r="S1082" s="80"/>
      <c r="T1082" s="80"/>
      <c r="U1082" s="80"/>
      <c r="V1082" s="80"/>
      <c r="W1082" s="80"/>
      <c r="X1082" s="80"/>
      <c r="Y1082" s="80"/>
      <c r="Z1082" s="80"/>
      <c r="AA1082" s="80"/>
      <c r="AB1082" s="80"/>
      <c r="AC1082" s="75"/>
      <c r="AD1082" s="75"/>
      <c r="AE1082" s="75"/>
      <c r="AF1082" s="75"/>
      <c r="AG1082" s="75"/>
      <c r="AH1082" s="75"/>
      <c r="AI1082" s="75"/>
      <c r="AJ1082" s="75"/>
      <c r="AK1082" s="75"/>
      <c r="AL1082" s="75"/>
      <c r="AM1082" s="75"/>
      <c r="AN1082" s="75"/>
      <c r="AO1082" s="76">
        <f t="shared" si="68"/>
        <v>0</v>
      </c>
      <c r="AP1082" s="592"/>
    </row>
    <row r="1083" spans="2:42" s="83" customFormat="1" ht="15">
      <c r="B1083" s="79" t="s">
        <v>76</v>
      </c>
      <c r="C1083" s="82"/>
      <c r="D1083" s="81"/>
      <c r="E1083" s="81"/>
      <c r="F1083" s="81"/>
      <c r="G1083" s="81"/>
      <c r="H1083" s="80"/>
      <c r="I1083" s="80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75"/>
      <c r="AD1083" s="75"/>
      <c r="AE1083" s="75"/>
      <c r="AF1083" s="75"/>
      <c r="AG1083" s="75"/>
      <c r="AH1083" s="75"/>
      <c r="AI1083" s="75"/>
      <c r="AJ1083" s="75"/>
      <c r="AK1083" s="75"/>
      <c r="AL1083" s="75"/>
      <c r="AM1083" s="75"/>
      <c r="AN1083" s="75"/>
      <c r="AO1083" s="76">
        <f t="shared" si="68"/>
        <v>0</v>
      </c>
      <c r="AP1083" s="592"/>
    </row>
    <row r="1084" spans="2:42" s="83" customFormat="1" ht="15">
      <c r="B1084" s="79" t="s">
        <v>76</v>
      </c>
      <c r="C1084" s="82"/>
      <c r="D1084" s="81"/>
      <c r="E1084" s="81"/>
      <c r="F1084" s="81"/>
      <c r="G1084" s="81"/>
      <c r="H1084" s="80"/>
      <c r="I1084" s="80"/>
      <c r="J1084" s="80"/>
      <c r="K1084" s="80"/>
      <c r="L1084" s="80"/>
      <c r="M1084" s="80"/>
      <c r="N1084" s="80"/>
      <c r="O1084" s="80"/>
      <c r="P1084" s="80"/>
      <c r="Q1084" s="80"/>
      <c r="R1084" s="80"/>
      <c r="S1084" s="80"/>
      <c r="T1084" s="80"/>
      <c r="U1084" s="80"/>
      <c r="V1084" s="80"/>
      <c r="W1084" s="80"/>
      <c r="X1084" s="80"/>
      <c r="Y1084" s="80"/>
      <c r="Z1084" s="80"/>
      <c r="AA1084" s="80"/>
      <c r="AB1084" s="80"/>
      <c r="AC1084" s="75"/>
      <c r="AD1084" s="75"/>
      <c r="AE1084" s="75"/>
      <c r="AF1084" s="75"/>
      <c r="AG1084" s="75"/>
      <c r="AH1084" s="75"/>
      <c r="AI1084" s="75"/>
      <c r="AJ1084" s="75"/>
      <c r="AK1084" s="75"/>
      <c r="AL1084" s="75"/>
      <c r="AM1084" s="75"/>
      <c r="AN1084" s="75"/>
      <c r="AO1084" s="76">
        <f t="shared" si="68"/>
        <v>0</v>
      </c>
      <c r="AP1084" s="592"/>
    </row>
    <row r="1085" spans="2:42" s="83" customFormat="1" ht="15">
      <c r="B1085" s="79" t="s">
        <v>76</v>
      </c>
      <c r="C1085" s="82"/>
      <c r="D1085" s="81"/>
      <c r="E1085" s="81"/>
      <c r="F1085" s="81"/>
      <c r="G1085" s="81"/>
      <c r="H1085" s="80"/>
      <c r="I1085" s="80"/>
      <c r="J1085" s="80"/>
      <c r="K1085" s="80"/>
      <c r="L1085" s="80"/>
      <c r="M1085" s="80"/>
      <c r="N1085" s="80"/>
      <c r="O1085" s="80"/>
      <c r="P1085" s="80"/>
      <c r="Q1085" s="80"/>
      <c r="R1085" s="80"/>
      <c r="S1085" s="80"/>
      <c r="T1085" s="80"/>
      <c r="U1085" s="80"/>
      <c r="V1085" s="80"/>
      <c r="W1085" s="80"/>
      <c r="X1085" s="80"/>
      <c r="Y1085" s="80"/>
      <c r="Z1085" s="80"/>
      <c r="AA1085" s="80"/>
      <c r="AB1085" s="80"/>
      <c r="AC1085" s="75"/>
      <c r="AD1085" s="75"/>
      <c r="AE1085" s="75"/>
      <c r="AF1085" s="75"/>
      <c r="AG1085" s="75"/>
      <c r="AH1085" s="75"/>
      <c r="AI1085" s="75"/>
      <c r="AJ1085" s="75"/>
      <c r="AK1085" s="75"/>
      <c r="AL1085" s="75"/>
      <c r="AM1085" s="75"/>
      <c r="AN1085" s="75"/>
      <c r="AO1085" s="76">
        <f t="shared" si="68"/>
        <v>0</v>
      </c>
      <c r="AP1085" s="592"/>
    </row>
    <row r="1086" spans="2:42" s="83" customFormat="1" ht="15">
      <c r="B1086" s="79" t="s">
        <v>76</v>
      </c>
      <c r="C1086" s="82"/>
      <c r="D1086" s="81"/>
      <c r="E1086" s="81"/>
      <c r="F1086" s="81"/>
      <c r="G1086" s="81"/>
      <c r="H1086" s="80"/>
      <c r="I1086" s="80"/>
      <c r="J1086" s="80"/>
      <c r="K1086" s="80"/>
      <c r="L1086" s="80"/>
      <c r="M1086" s="80"/>
      <c r="N1086" s="80"/>
      <c r="O1086" s="80"/>
      <c r="P1086" s="80"/>
      <c r="Q1086" s="80"/>
      <c r="R1086" s="80"/>
      <c r="S1086" s="80"/>
      <c r="T1086" s="80"/>
      <c r="U1086" s="80"/>
      <c r="V1086" s="80"/>
      <c r="W1086" s="80"/>
      <c r="X1086" s="80"/>
      <c r="Y1086" s="80"/>
      <c r="Z1086" s="80"/>
      <c r="AA1086" s="80"/>
      <c r="AB1086" s="80"/>
      <c r="AC1086" s="75"/>
      <c r="AD1086" s="75"/>
      <c r="AE1086" s="75"/>
      <c r="AF1086" s="75"/>
      <c r="AG1086" s="75"/>
      <c r="AH1086" s="75"/>
      <c r="AI1086" s="75"/>
      <c r="AJ1086" s="75"/>
      <c r="AK1086" s="75"/>
      <c r="AL1086" s="75"/>
      <c r="AM1086" s="75"/>
      <c r="AN1086" s="75"/>
      <c r="AO1086" s="76">
        <f t="shared" si="68"/>
        <v>0</v>
      </c>
      <c r="AP1086" s="592"/>
    </row>
    <row r="1087" spans="2:42" s="83" customFormat="1" ht="15">
      <c r="B1087" s="79" t="s">
        <v>76</v>
      </c>
      <c r="C1087" s="82"/>
      <c r="D1087" s="81"/>
      <c r="E1087" s="81"/>
      <c r="F1087" s="81"/>
      <c r="G1087" s="81"/>
      <c r="H1087" s="80"/>
      <c r="I1087" s="80"/>
      <c r="J1087" s="80"/>
      <c r="K1087" s="80"/>
      <c r="L1087" s="80"/>
      <c r="M1087" s="80"/>
      <c r="N1087" s="80"/>
      <c r="O1087" s="80"/>
      <c r="P1087" s="80"/>
      <c r="Q1087" s="80"/>
      <c r="R1087" s="80"/>
      <c r="S1087" s="80"/>
      <c r="T1087" s="80"/>
      <c r="U1087" s="80"/>
      <c r="V1087" s="80"/>
      <c r="W1087" s="80"/>
      <c r="X1087" s="80"/>
      <c r="Y1087" s="80"/>
      <c r="Z1087" s="80"/>
      <c r="AA1087" s="80"/>
      <c r="AB1087" s="80"/>
      <c r="AC1087" s="75"/>
      <c r="AD1087" s="75"/>
      <c r="AE1087" s="75"/>
      <c r="AF1087" s="75"/>
      <c r="AG1087" s="75"/>
      <c r="AH1087" s="75"/>
      <c r="AI1087" s="75"/>
      <c r="AJ1087" s="75"/>
      <c r="AK1087" s="75"/>
      <c r="AL1087" s="75"/>
      <c r="AM1087" s="75"/>
      <c r="AN1087" s="75"/>
      <c r="AO1087" s="76">
        <f t="shared" si="68"/>
        <v>0</v>
      </c>
      <c r="AP1087" s="592"/>
    </row>
    <row r="1088" spans="2:42" s="83" customFormat="1" ht="15">
      <c r="B1088" s="79" t="s">
        <v>76</v>
      </c>
      <c r="C1088" s="82"/>
      <c r="D1088" s="81"/>
      <c r="E1088" s="81"/>
      <c r="F1088" s="81"/>
      <c r="G1088" s="81"/>
      <c r="H1088" s="80"/>
      <c r="I1088" s="80"/>
      <c r="J1088" s="80"/>
      <c r="K1088" s="80"/>
      <c r="L1088" s="80"/>
      <c r="M1088" s="80"/>
      <c r="N1088" s="80"/>
      <c r="O1088" s="80"/>
      <c r="P1088" s="80"/>
      <c r="Q1088" s="80"/>
      <c r="R1088" s="80"/>
      <c r="S1088" s="80"/>
      <c r="T1088" s="80"/>
      <c r="U1088" s="80"/>
      <c r="V1088" s="80"/>
      <c r="W1088" s="80"/>
      <c r="X1088" s="80"/>
      <c r="Y1088" s="80"/>
      <c r="Z1088" s="80"/>
      <c r="AA1088" s="80"/>
      <c r="AB1088" s="80"/>
      <c r="AC1088" s="75"/>
      <c r="AD1088" s="75"/>
      <c r="AE1088" s="75"/>
      <c r="AF1088" s="75"/>
      <c r="AG1088" s="75"/>
      <c r="AH1088" s="75"/>
      <c r="AI1088" s="75"/>
      <c r="AJ1088" s="75"/>
      <c r="AK1088" s="75"/>
      <c r="AL1088" s="75"/>
      <c r="AM1088" s="75"/>
      <c r="AN1088" s="75"/>
      <c r="AO1088" s="76">
        <f t="shared" si="68"/>
        <v>0</v>
      </c>
      <c r="AP1088" s="592"/>
    </row>
    <row r="1089" spans="2:42" s="83" customFormat="1" ht="15">
      <c r="B1089" s="79" t="s">
        <v>76</v>
      </c>
      <c r="C1089" s="82"/>
      <c r="D1089" s="81"/>
      <c r="E1089" s="81"/>
      <c r="F1089" s="81"/>
      <c r="G1089" s="81"/>
      <c r="H1089" s="80"/>
      <c r="I1089" s="80"/>
      <c r="J1089" s="80"/>
      <c r="K1089" s="80"/>
      <c r="L1089" s="80"/>
      <c r="M1089" s="80"/>
      <c r="N1089" s="80"/>
      <c r="O1089" s="80"/>
      <c r="P1089" s="80"/>
      <c r="Q1089" s="80"/>
      <c r="R1089" s="80"/>
      <c r="S1089" s="80"/>
      <c r="T1089" s="80"/>
      <c r="U1089" s="80"/>
      <c r="V1089" s="80"/>
      <c r="W1089" s="80"/>
      <c r="X1089" s="80"/>
      <c r="Y1089" s="80"/>
      <c r="Z1089" s="80"/>
      <c r="AA1089" s="80"/>
      <c r="AB1089" s="80"/>
      <c r="AC1089" s="75"/>
      <c r="AD1089" s="75"/>
      <c r="AE1089" s="75"/>
      <c r="AF1089" s="75"/>
      <c r="AG1089" s="75"/>
      <c r="AH1089" s="75"/>
      <c r="AI1089" s="75"/>
      <c r="AJ1089" s="75"/>
      <c r="AK1089" s="75"/>
      <c r="AL1089" s="75"/>
      <c r="AM1089" s="75"/>
      <c r="AN1089" s="75"/>
      <c r="AO1089" s="76">
        <f t="shared" si="68"/>
        <v>0</v>
      </c>
      <c r="AP1089" s="592"/>
    </row>
    <row r="1090" spans="2:42" s="83" customFormat="1" ht="15">
      <c r="B1090" s="79" t="s">
        <v>76</v>
      </c>
      <c r="C1090" s="82"/>
      <c r="D1090" s="81"/>
      <c r="E1090" s="81"/>
      <c r="F1090" s="81"/>
      <c r="G1090" s="81"/>
      <c r="H1090" s="80"/>
      <c r="I1090" s="80"/>
      <c r="J1090" s="80"/>
      <c r="K1090" s="80"/>
      <c r="L1090" s="80"/>
      <c r="M1090" s="80"/>
      <c r="N1090" s="80"/>
      <c r="O1090" s="80"/>
      <c r="P1090" s="80"/>
      <c r="Q1090" s="80"/>
      <c r="R1090" s="80"/>
      <c r="S1090" s="80"/>
      <c r="T1090" s="80"/>
      <c r="U1090" s="80"/>
      <c r="V1090" s="80"/>
      <c r="W1090" s="80"/>
      <c r="X1090" s="80"/>
      <c r="Y1090" s="80"/>
      <c r="Z1090" s="80"/>
      <c r="AA1090" s="80"/>
      <c r="AB1090" s="80"/>
      <c r="AC1090" s="75"/>
      <c r="AD1090" s="75"/>
      <c r="AE1090" s="75"/>
      <c r="AF1090" s="75"/>
      <c r="AG1090" s="75"/>
      <c r="AH1090" s="75"/>
      <c r="AI1090" s="75"/>
      <c r="AJ1090" s="75"/>
      <c r="AK1090" s="75"/>
      <c r="AL1090" s="75"/>
      <c r="AM1090" s="75"/>
      <c r="AN1090" s="75"/>
      <c r="AO1090" s="76">
        <f t="shared" si="68"/>
        <v>0</v>
      </c>
      <c r="AP1090" s="592"/>
    </row>
    <row r="1091" spans="2:42" s="83" customFormat="1" ht="15">
      <c r="B1091" s="79" t="s">
        <v>76</v>
      </c>
      <c r="C1091" s="82"/>
      <c r="D1091" s="81"/>
      <c r="E1091" s="81"/>
      <c r="F1091" s="81"/>
      <c r="G1091" s="81"/>
      <c r="H1091" s="80"/>
      <c r="I1091" s="80"/>
      <c r="J1091" s="80"/>
      <c r="K1091" s="80"/>
      <c r="L1091" s="80"/>
      <c r="M1091" s="80"/>
      <c r="N1091" s="80"/>
      <c r="O1091" s="80"/>
      <c r="P1091" s="80"/>
      <c r="Q1091" s="80"/>
      <c r="R1091" s="80"/>
      <c r="S1091" s="80"/>
      <c r="T1091" s="80"/>
      <c r="U1091" s="80"/>
      <c r="V1091" s="80"/>
      <c r="W1091" s="80"/>
      <c r="X1091" s="80"/>
      <c r="Y1091" s="80"/>
      <c r="Z1091" s="80"/>
      <c r="AA1091" s="80"/>
      <c r="AB1091" s="80"/>
      <c r="AC1091" s="75"/>
      <c r="AD1091" s="75"/>
      <c r="AE1091" s="75"/>
      <c r="AF1091" s="75"/>
      <c r="AG1091" s="75"/>
      <c r="AH1091" s="75"/>
      <c r="AI1091" s="75"/>
      <c r="AJ1091" s="75"/>
      <c r="AK1091" s="75"/>
      <c r="AL1091" s="75"/>
      <c r="AM1091" s="75"/>
      <c r="AN1091" s="75"/>
      <c r="AO1091" s="76">
        <f t="shared" si="68"/>
        <v>0</v>
      </c>
      <c r="AP1091" s="592"/>
    </row>
    <row r="1092" spans="2:42" s="83" customFormat="1" ht="15">
      <c r="B1092" s="79" t="s">
        <v>76</v>
      </c>
      <c r="C1092" s="82"/>
      <c r="D1092" s="81"/>
      <c r="E1092" s="81"/>
      <c r="F1092" s="81"/>
      <c r="G1092" s="81"/>
      <c r="H1092" s="80"/>
      <c r="I1092" s="80"/>
      <c r="J1092" s="80"/>
      <c r="K1092" s="80"/>
      <c r="L1092" s="80"/>
      <c r="M1092" s="80"/>
      <c r="N1092" s="80"/>
      <c r="O1092" s="80"/>
      <c r="P1092" s="80"/>
      <c r="Q1092" s="80"/>
      <c r="R1092" s="80"/>
      <c r="S1092" s="80"/>
      <c r="T1092" s="80"/>
      <c r="U1092" s="80"/>
      <c r="V1092" s="80"/>
      <c r="W1092" s="80"/>
      <c r="X1092" s="80"/>
      <c r="Y1092" s="80"/>
      <c r="Z1092" s="80"/>
      <c r="AA1092" s="80"/>
      <c r="AB1092" s="80"/>
      <c r="AC1092" s="75"/>
      <c r="AD1092" s="75"/>
      <c r="AE1092" s="75"/>
      <c r="AF1092" s="75"/>
      <c r="AG1092" s="75"/>
      <c r="AH1092" s="75"/>
      <c r="AI1092" s="75"/>
      <c r="AJ1092" s="75"/>
      <c r="AK1092" s="75"/>
      <c r="AL1092" s="75"/>
      <c r="AM1092" s="75"/>
      <c r="AN1092" s="75"/>
      <c r="AO1092" s="76">
        <f t="shared" si="68"/>
        <v>0</v>
      </c>
      <c r="AP1092" s="592"/>
    </row>
    <row r="1093" spans="2:42" s="83" customFormat="1" ht="15">
      <c r="B1093" s="79" t="s">
        <v>76</v>
      </c>
      <c r="C1093" s="82"/>
      <c r="D1093" s="81"/>
      <c r="E1093" s="81"/>
      <c r="F1093" s="81"/>
      <c r="G1093" s="81"/>
      <c r="H1093" s="80"/>
      <c r="I1093" s="80"/>
      <c r="J1093" s="80"/>
      <c r="K1093" s="80"/>
      <c r="L1093" s="80"/>
      <c r="M1093" s="80"/>
      <c r="N1093" s="80"/>
      <c r="O1093" s="80"/>
      <c r="P1093" s="80"/>
      <c r="Q1093" s="80"/>
      <c r="R1093" s="80"/>
      <c r="S1093" s="80"/>
      <c r="T1093" s="80"/>
      <c r="U1093" s="80"/>
      <c r="V1093" s="80"/>
      <c r="W1093" s="80"/>
      <c r="X1093" s="80"/>
      <c r="Y1093" s="80"/>
      <c r="Z1093" s="80"/>
      <c r="AA1093" s="80"/>
      <c r="AB1093" s="80"/>
      <c r="AC1093" s="75"/>
      <c r="AD1093" s="75"/>
      <c r="AE1093" s="75"/>
      <c r="AF1093" s="75"/>
      <c r="AG1093" s="75"/>
      <c r="AH1093" s="75"/>
      <c r="AI1093" s="75"/>
      <c r="AJ1093" s="75"/>
      <c r="AK1093" s="75"/>
      <c r="AL1093" s="75"/>
      <c r="AM1093" s="75"/>
      <c r="AN1093" s="75"/>
      <c r="AO1093" s="76">
        <f t="shared" si="68"/>
        <v>0</v>
      </c>
      <c r="AP1093" s="592"/>
    </row>
    <row r="1094" spans="2:42" s="83" customFormat="1" ht="15">
      <c r="B1094" s="79" t="s">
        <v>76</v>
      </c>
      <c r="C1094" s="82"/>
      <c r="D1094" s="81"/>
      <c r="E1094" s="81"/>
      <c r="F1094" s="81"/>
      <c r="G1094" s="81"/>
      <c r="H1094" s="80"/>
      <c r="I1094" s="80"/>
      <c r="J1094" s="80"/>
      <c r="K1094" s="80"/>
      <c r="L1094" s="80"/>
      <c r="M1094" s="80"/>
      <c r="N1094" s="80"/>
      <c r="O1094" s="80"/>
      <c r="P1094" s="80"/>
      <c r="Q1094" s="80"/>
      <c r="R1094" s="80"/>
      <c r="S1094" s="80"/>
      <c r="T1094" s="80"/>
      <c r="U1094" s="80"/>
      <c r="V1094" s="80"/>
      <c r="W1094" s="80"/>
      <c r="X1094" s="80"/>
      <c r="Y1094" s="80"/>
      <c r="Z1094" s="80"/>
      <c r="AA1094" s="80"/>
      <c r="AB1094" s="80"/>
      <c r="AC1094" s="75"/>
      <c r="AD1094" s="75"/>
      <c r="AE1094" s="75"/>
      <c r="AF1094" s="75"/>
      <c r="AG1094" s="75"/>
      <c r="AH1094" s="75"/>
      <c r="AI1094" s="75"/>
      <c r="AJ1094" s="75"/>
      <c r="AK1094" s="75"/>
      <c r="AL1094" s="75"/>
      <c r="AM1094" s="75"/>
      <c r="AN1094" s="75"/>
      <c r="AO1094" s="76">
        <f t="shared" si="68"/>
        <v>0</v>
      </c>
      <c r="AP1094" s="592"/>
    </row>
    <row r="1095" spans="2:42" s="83" customFormat="1" ht="15">
      <c r="B1095" s="79" t="s">
        <v>76</v>
      </c>
      <c r="C1095" s="82"/>
      <c r="D1095" s="81"/>
      <c r="E1095" s="81"/>
      <c r="F1095" s="81"/>
      <c r="G1095" s="81"/>
      <c r="H1095" s="80"/>
      <c r="I1095" s="80"/>
      <c r="J1095" s="80"/>
      <c r="K1095" s="80"/>
      <c r="L1095" s="80"/>
      <c r="M1095" s="80"/>
      <c r="N1095" s="80"/>
      <c r="O1095" s="80"/>
      <c r="P1095" s="80"/>
      <c r="Q1095" s="80"/>
      <c r="R1095" s="80"/>
      <c r="S1095" s="80"/>
      <c r="T1095" s="80"/>
      <c r="U1095" s="80"/>
      <c r="V1095" s="80"/>
      <c r="W1095" s="80"/>
      <c r="X1095" s="80"/>
      <c r="Y1095" s="80"/>
      <c r="Z1095" s="80"/>
      <c r="AA1095" s="80"/>
      <c r="AB1095" s="80"/>
      <c r="AC1095" s="75"/>
      <c r="AD1095" s="75"/>
      <c r="AE1095" s="75"/>
      <c r="AF1095" s="75"/>
      <c r="AG1095" s="75"/>
      <c r="AH1095" s="75"/>
      <c r="AI1095" s="75"/>
      <c r="AJ1095" s="75"/>
      <c r="AK1095" s="75"/>
      <c r="AL1095" s="75"/>
      <c r="AM1095" s="75"/>
      <c r="AN1095" s="75"/>
      <c r="AO1095" s="76">
        <f t="shared" si="68"/>
        <v>0</v>
      </c>
      <c r="AP1095" s="592"/>
    </row>
    <row r="1096" spans="2:42" s="83" customFormat="1" ht="15">
      <c r="B1096" s="79" t="s">
        <v>76</v>
      </c>
      <c r="C1096" s="82"/>
      <c r="D1096" s="81"/>
      <c r="E1096" s="81"/>
      <c r="F1096" s="81"/>
      <c r="G1096" s="81"/>
      <c r="H1096" s="80"/>
      <c r="I1096" s="80"/>
      <c r="J1096" s="80"/>
      <c r="K1096" s="80"/>
      <c r="L1096" s="80"/>
      <c r="M1096" s="80"/>
      <c r="N1096" s="80"/>
      <c r="O1096" s="80"/>
      <c r="P1096" s="80"/>
      <c r="Q1096" s="80"/>
      <c r="R1096" s="80"/>
      <c r="S1096" s="80"/>
      <c r="T1096" s="80"/>
      <c r="U1096" s="80"/>
      <c r="V1096" s="80"/>
      <c r="W1096" s="80"/>
      <c r="X1096" s="80"/>
      <c r="Y1096" s="80"/>
      <c r="Z1096" s="80"/>
      <c r="AA1096" s="80"/>
      <c r="AB1096" s="80"/>
      <c r="AC1096" s="75"/>
      <c r="AD1096" s="75"/>
      <c r="AE1096" s="75"/>
      <c r="AF1096" s="75"/>
      <c r="AG1096" s="75"/>
      <c r="AH1096" s="75"/>
      <c r="AI1096" s="75"/>
      <c r="AJ1096" s="75"/>
      <c r="AK1096" s="75"/>
      <c r="AL1096" s="75"/>
      <c r="AM1096" s="75"/>
      <c r="AN1096" s="75"/>
      <c r="AO1096" s="76">
        <f t="shared" si="68"/>
        <v>0</v>
      </c>
      <c r="AP1096" s="592"/>
    </row>
    <row r="1097" spans="2:42" s="83" customFormat="1" ht="15">
      <c r="B1097" s="79" t="s">
        <v>76</v>
      </c>
      <c r="C1097" s="82"/>
      <c r="D1097" s="81"/>
      <c r="E1097" s="81"/>
      <c r="F1097" s="81"/>
      <c r="G1097" s="81"/>
      <c r="H1097" s="80"/>
      <c r="I1097" s="80"/>
      <c r="J1097" s="80"/>
      <c r="K1097" s="80"/>
      <c r="L1097" s="80"/>
      <c r="M1097" s="80"/>
      <c r="N1097" s="80"/>
      <c r="O1097" s="80"/>
      <c r="P1097" s="80"/>
      <c r="Q1097" s="80"/>
      <c r="R1097" s="80"/>
      <c r="S1097" s="80"/>
      <c r="T1097" s="80"/>
      <c r="U1097" s="80"/>
      <c r="V1097" s="80"/>
      <c r="W1097" s="80"/>
      <c r="X1097" s="80"/>
      <c r="Y1097" s="80"/>
      <c r="Z1097" s="80"/>
      <c r="AA1097" s="80"/>
      <c r="AB1097" s="80"/>
      <c r="AC1097" s="75"/>
      <c r="AD1097" s="75"/>
      <c r="AE1097" s="75"/>
      <c r="AF1097" s="75"/>
      <c r="AG1097" s="75"/>
      <c r="AH1097" s="75"/>
      <c r="AI1097" s="75"/>
      <c r="AJ1097" s="75"/>
      <c r="AK1097" s="75"/>
      <c r="AL1097" s="75"/>
      <c r="AM1097" s="75"/>
      <c r="AN1097" s="75"/>
      <c r="AO1097" s="76">
        <f t="shared" si="68"/>
        <v>0</v>
      </c>
      <c r="AP1097" s="592"/>
    </row>
    <row r="1098" spans="2:42" s="83" customFormat="1" ht="15">
      <c r="B1098" s="79" t="s">
        <v>76</v>
      </c>
      <c r="C1098" s="82"/>
      <c r="D1098" s="81"/>
      <c r="E1098" s="81"/>
      <c r="F1098" s="81"/>
      <c r="G1098" s="81"/>
      <c r="H1098" s="80"/>
      <c r="I1098" s="80"/>
      <c r="J1098" s="80"/>
      <c r="K1098" s="80"/>
      <c r="L1098" s="80"/>
      <c r="M1098" s="80"/>
      <c r="N1098" s="80"/>
      <c r="O1098" s="80"/>
      <c r="P1098" s="80"/>
      <c r="Q1098" s="80"/>
      <c r="R1098" s="80"/>
      <c r="S1098" s="80"/>
      <c r="T1098" s="80"/>
      <c r="U1098" s="80"/>
      <c r="V1098" s="80"/>
      <c r="W1098" s="80"/>
      <c r="X1098" s="80"/>
      <c r="Y1098" s="80"/>
      <c r="Z1098" s="80"/>
      <c r="AA1098" s="80"/>
      <c r="AB1098" s="80"/>
      <c r="AC1098" s="75"/>
      <c r="AD1098" s="75"/>
      <c r="AE1098" s="75"/>
      <c r="AF1098" s="75"/>
      <c r="AG1098" s="75"/>
      <c r="AH1098" s="75"/>
      <c r="AI1098" s="75"/>
      <c r="AJ1098" s="75"/>
      <c r="AK1098" s="75"/>
      <c r="AL1098" s="75"/>
      <c r="AM1098" s="75"/>
      <c r="AN1098" s="75"/>
      <c r="AO1098" s="76">
        <f t="shared" si="68"/>
        <v>0</v>
      </c>
      <c r="AP1098" s="592"/>
    </row>
    <row r="1099" spans="2:42" s="83" customFormat="1" ht="15">
      <c r="B1099" s="79" t="s">
        <v>76</v>
      </c>
      <c r="C1099" s="82"/>
      <c r="D1099" s="81"/>
      <c r="E1099" s="81"/>
      <c r="F1099" s="81"/>
      <c r="G1099" s="81"/>
      <c r="H1099" s="80"/>
      <c r="I1099" s="80"/>
      <c r="J1099" s="80"/>
      <c r="K1099" s="80"/>
      <c r="L1099" s="80"/>
      <c r="M1099" s="80"/>
      <c r="N1099" s="80"/>
      <c r="O1099" s="80"/>
      <c r="P1099" s="80"/>
      <c r="Q1099" s="80"/>
      <c r="R1099" s="80"/>
      <c r="S1099" s="80"/>
      <c r="T1099" s="80"/>
      <c r="U1099" s="80"/>
      <c r="V1099" s="80"/>
      <c r="W1099" s="80"/>
      <c r="X1099" s="80"/>
      <c r="Y1099" s="80"/>
      <c r="Z1099" s="80"/>
      <c r="AA1099" s="80"/>
      <c r="AB1099" s="80"/>
      <c r="AC1099" s="75"/>
      <c r="AD1099" s="75"/>
      <c r="AE1099" s="75"/>
      <c r="AF1099" s="75"/>
      <c r="AG1099" s="75"/>
      <c r="AH1099" s="75"/>
      <c r="AI1099" s="75"/>
      <c r="AJ1099" s="75"/>
      <c r="AK1099" s="75"/>
      <c r="AL1099" s="75"/>
      <c r="AM1099" s="75"/>
      <c r="AN1099" s="75"/>
      <c r="AO1099" s="76">
        <f t="shared" si="68"/>
        <v>0</v>
      </c>
      <c r="AP1099" s="592"/>
    </row>
    <row r="1100" spans="2:42" s="83" customFormat="1" ht="15">
      <c r="B1100" s="79" t="s">
        <v>76</v>
      </c>
      <c r="C1100" s="82"/>
      <c r="D1100" s="81"/>
      <c r="E1100" s="81"/>
      <c r="F1100" s="81"/>
      <c r="G1100" s="81"/>
      <c r="H1100" s="80"/>
      <c r="I1100" s="80"/>
      <c r="J1100" s="80"/>
      <c r="K1100" s="80"/>
      <c r="L1100" s="80"/>
      <c r="M1100" s="80"/>
      <c r="N1100" s="80"/>
      <c r="O1100" s="80"/>
      <c r="P1100" s="80"/>
      <c r="Q1100" s="80"/>
      <c r="R1100" s="80"/>
      <c r="S1100" s="80"/>
      <c r="T1100" s="80"/>
      <c r="U1100" s="80"/>
      <c r="V1100" s="80"/>
      <c r="W1100" s="80"/>
      <c r="X1100" s="80"/>
      <c r="Y1100" s="80"/>
      <c r="Z1100" s="80"/>
      <c r="AA1100" s="80"/>
      <c r="AB1100" s="80"/>
      <c r="AC1100" s="75"/>
      <c r="AD1100" s="75"/>
      <c r="AE1100" s="75"/>
      <c r="AF1100" s="75"/>
      <c r="AG1100" s="75"/>
      <c r="AH1100" s="75"/>
      <c r="AI1100" s="75"/>
      <c r="AJ1100" s="75"/>
      <c r="AK1100" s="75"/>
      <c r="AL1100" s="75"/>
      <c r="AM1100" s="75"/>
      <c r="AN1100" s="75"/>
      <c r="AO1100" s="76">
        <f t="shared" si="68"/>
        <v>0</v>
      </c>
      <c r="AP1100" s="592"/>
    </row>
    <row r="1101" spans="2:42" s="83" customFormat="1" ht="15">
      <c r="B1101" s="79" t="s">
        <v>76</v>
      </c>
      <c r="C1101" s="82"/>
      <c r="D1101" s="81"/>
      <c r="E1101" s="81"/>
      <c r="F1101" s="81"/>
      <c r="G1101" s="81"/>
      <c r="H1101" s="80"/>
      <c r="I1101" s="80"/>
      <c r="J1101" s="80"/>
      <c r="K1101" s="80"/>
      <c r="L1101" s="80"/>
      <c r="M1101" s="80"/>
      <c r="N1101" s="80"/>
      <c r="O1101" s="80"/>
      <c r="P1101" s="80"/>
      <c r="Q1101" s="80"/>
      <c r="R1101" s="80"/>
      <c r="S1101" s="80"/>
      <c r="T1101" s="80"/>
      <c r="U1101" s="80"/>
      <c r="V1101" s="80"/>
      <c r="W1101" s="80"/>
      <c r="X1101" s="80"/>
      <c r="Y1101" s="80"/>
      <c r="Z1101" s="80"/>
      <c r="AA1101" s="80"/>
      <c r="AB1101" s="80"/>
      <c r="AC1101" s="75"/>
      <c r="AD1101" s="75"/>
      <c r="AE1101" s="75"/>
      <c r="AF1101" s="75"/>
      <c r="AG1101" s="75"/>
      <c r="AH1101" s="75"/>
      <c r="AI1101" s="75"/>
      <c r="AJ1101" s="75"/>
      <c r="AK1101" s="75"/>
      <c r="AL1101" s="75"/>
      <c r="AM1101" s="75"/>
      <c r="AN1101" s="75"/>
      <c r="AO1101" s="76">
        <f t="shared" si="68"/>
        <v>0</v>
      </c>
      <c r="AP1101" s="592"/>
    </row>
    <row r="1102" spans="2:42" s="83" customFormat="1" ht="15">
      <c r="B1102" s="79" t="s">
        <v>76</v>
      </c>
      <c r="C1102" s="82"/>
      <c r="D1102" s="81"/>
      <c r="E1102" s="81"/>
      <c r="F1102" s="81"/>
      <c r="G1102" s="81"/>
      <c r="H1102" s="80"/>
      <c r="I1102" s="80"/>
      <c r="J1102" s="80"/>
      <c r="K1102" s="80"/>
      <c r="L1102" s="80"/>
      <c r="M1102" s="80"/>
      <c r="N1102" s="80"/>
      <c r="O1102" s="80"/>
      <c r="P1102" s="80"/>
      <c r="Q1102" s="80"/>
      <c r="R1102" s="80"/>
      <c r="S1102" s="80"/>
      <c r="T1102" s="80"/>
      <c r="U1102" s="80"/>
      <c r="V1102" s="80"/>
      <c r="W1102" s="80"/>
      <c r="X1102" s="80"/>
      <c r="Y1102" s="80"/>
      <c r="Z1102" s="80"/>
      <c r="AA1102" s="80"/>
      <c r="AB1102" s="80"/>
      <c r="AC1102" s="75"/>
      <c r="AD1102" s="75"/>
      <c r="AE1102" s="75"/>
      <c r="AF1102" s="75"/>
      <c r="AG1102" s="75"/>
      <c r="AH1102" s="75"/>
      <c r="AI1102" s="75"/>
      <c r="AJ1102" s="75"/>
      <c r="AK1102" s="75"/>
      <c r="AL1102" s="75"/>
      <c r="AM1102" s="75"/>
      <c r="AN1102" s="75"/>
      <c r="AO1102" s="76">
        <f t="shared" si="68"/>
        <v>0</v>
      </c>
      <c r="AP1102" s="592"/>
    </row>
    <row r="1103" spans="2:42" s="83" customFormat="1" ht="15">
      <c r="B1103" s="79" t="s">
        <v>76</v>
      </c>
      <c r="C1103" s="82"/>
      <c r="D1103" s="81"/>
      <c r="E1103" s="81"/>
      <c r="F1103" s="81"/>
      <c r="G1103" s="81"/>
      <c r="H1103" s="80"/>
      <c r="I1103" s="80"/>
      <c r="J1103" s="80"/>
      <c r="K1103" s="80"/>
      <c r="L1103" s="80"/>
      <c r="M1103" s="80"/>
      <c r="N1103" s="80"/>
      <c r="O1103" s="80"/>
      <c r="P1103" s="80"/>
      <c r="Q1103" s="80"/>
      <c r="R1103" s="80"/>
      <c r="S1103" s="80"/>
      <c r="T1103" s="80"/>
      <c r="U1103" s="80"/>
      <c r="V1103" s="80"/>
      <c r="W1103" s="80"/>
      <c r="X1103" s="80"/>
      <c r="Y1103" s="80"/>
      <c r="Z1103" s="80"/>
      <c r="AA1103" s="80"/>
      <c r="AB1103" s="80"/>
      <c r="AC1103" s="75"/>
      <c r="AD1103" s="75"/>
      <c r="AE1103" s="75"/>
      <c r="AF1103" s="75"/>
      <c r="AG1103" s="75"/>
      <c r="AH1103" s="75"/>
      <c r="AI1103" s="75"/>
      <c r="AJ1103" s="75"/>
      <c r="AK1103" s="75"/>
      <c r="AL1103" s="75"/>
      <c r="AM1103" s="75"/>
      <c r="AN1103" s="75"/>
      <c r="AO1103" s="76">
        <f t="shared" si="68"/>
        <v>0</v>
      </c>
      <c r="AP1103" s="592"/>
    </row>
    <row r="1104" spans="2:42" s="83" customFormat="1" ht="15">
      <c r="B1104" s="79" t="s">
        <v>76</v>
      </c>
      <c r="C1104" s="82"/>
      <c r="D1104" s="81"/>
      <c r="E1104" s="81"/>
      <c r="F1104" s="81"/>
      <c r="G1104" s="81"/>
      <c r="H1104" s="80"/>
      <c r="I1104" s="80"/>
      <c r="J1104" s="80"/>
      <c r="K1104" s="80"/>
      <c r="L1104" s="80"/>
      <c r="M1104" s="80"/>
      <c r="N1104" s="80"/>
      <c r="O1104" s="80"/>
      <c r="P1104" s="80"/>
      <c r="Q1104" s="80"/>
      <c r="R1104" s="80"/>
      <c r="S1104" s="80"/>
      <c r="T1104" s="80"/>
      <c r="U1104" s="80"/>
      <c r="V1104" s="80"/>
      <c r="W1104" s="80"/>
      <c r="X1104" s="80"/>
      <c r="Y1104" s="80"/>
      <c r="Z1104" s="80"/>
      <c r="AA1104" s="80"/>
      <c r="AB1104" s="80"/>
      <c r="AC1104" s="75"/>
      <c r="AD1104" s="75"/>
      <c r="AE1104" s="75"/>
      <c r="AF1104" s="75"/>
      <c r="AG1104" s="75"/>
      <c r="AH1104" s="75"/>
      <c r="AI1104" s="75"/>
      <c r="AJ1104" s="75"/>
      <c r="AK1104" s="75"/>
      <c r="AL1104" s="75"/>
      <c r="AM1104" s="75"/>
      <c r="AN1104" s="75"/>
      <c r="AO1104" s="76">
        <f t="shared" si="68"/>
        <v>0</v>
      </c>
      <c r="AP1104" s="592"/>
    </row>
    <row r="1105" spans="2:42" s="83" customFormat="1" ht="15">
      <c r="B1105" s="79" t="s">
        <v>76</v>
      </c>
      <c r="C1105" s="82"/>
      <c r="D1105" s="81"/>
      <c r="E1105" s="81"/>
      <c r="F1105" s="81"/>
      <c r="G1105" s="81"/>
      <c r="H1105" s="80"/>
      <c r="I1105" s="80"/>
      <c r="J1105" s="80"/>
      <c r="K1105" s="80"/>
      <c r="L1105" s="80"/>
      <c r="M1105" s="80"/>
      <c r="N1105" s="80"/>
      <c r="O1105" s="80"/>
      <c r="P1105" s="80"/>
      <c r="Q1105" s="80"/>
      <c r="R1105" s="80"/>
      <c r="S1105" s="80"/>
      <c r="T1105" s="80"/>
      <c r="U1105" s="80"/>
      <c r="V1105" s="80"/>
      <c r="W1105" s="80"/>
      <c r="X1105" s="80"/>
      <c r="Y1105" s="80"/>
      <c r="Z1105" s="80"/>
      <c r="AA1105" s="80"/>
      <c r="AB1105" s="80"/>
      <c r="AC1105" s="75"/>
      <c r="AD1105" s="75"/>
      <c r="AE1105" s="75"/>
      <c r="AF1105" s="75"/>
      <c r="AG1105" s="75"/>
      <c r="AH1105" s="75"/>
      <c r="AI1105" s="75"/>
      <c r="AJ1105" s="75"/>
      <c r="AK1105" s="75"/>
      <c r="AL1105" s="75"/>
      <c r="AM1105" s="75"/>
      <c r="AN1105" s="75"/>
      <c r="AO1105" s="76">
        <f t="shared" si="68"/>
        <v>0</v>
      </c>
      <c r="AP1105" s="592"/>
    </row>
    <row r="1106" spans="2:42" s="83" customFormat="1" ht="15">
      <c r="B1106" s="79" t="s">
        <v>76</v>
      </c>
      <c r="C1106" s="82"/>
      <c r="D1106" s="81"/>
      <c r="E1106" s="81"/>
      <c r="F1106" s="81"/>
      <c r="G1106" s="81"/>
      <c r="H1106" s="80"/>
      <c r="I1106" s="80"/>
      <c r="J1106" s="80"/>
      <c r="K1106" s="80"/>
      <c r="L1106" s="80"/>
      <c r="M1106" s="80"/>
      <c r="N1106" s="80"/>
      <c r="O1106" s="80"/>
      <c r="P1106" s="80"/>
      <c r="Q1106" s="80"/>
      <c r="R1106" s="80"/>
      <c r="S1106" s="80"/>
      <c r="T1106" s="80"/>
      <c r="U1106" s="80"/>
      <c r="V1106" s="80"/>
      <c r="W1106" s="80"/>
      <c r="X1106" s="80"/>
      <c r="Y1106" s="80"/>
      <c r="Z1106" s="80"/>
      <c r="AA1106" s="80"/>
      <c r="AB1106" s="80"/>
      <c r="AC1106" s="75"/>
      <c r="AD1106" s="75"/>
      <c r="AE1106" s="75"/>
      <c r="AF1106" s="75"/>
      <c r="AG1106" s="75"/>
      <c r="AH1106" s="75"/>
      <c r="AI1106" s="75"/>
      <c r="AJ1106" s="75"/>
      <c r="AK1106" s="75"/>
      <c r="AL1106" s="75"/>
      <c r="AM1106" s="75"/>
      <c r="AN1106" s="75"/>
      <c r="AO1106" s="76">
        <f t="shared" si="68"/>
        <v>0</v>
      </c>
      <c r="AP1106" s="592"/>
    </row>
    <row r="1107" spans="2:42" s="83" customFormat="1" ht="15">
      <c r="B1107" s="79" t="s">
        <v>76</v>
      </c>
      <c r="C1107" s="82"/>
      <c r="D1107" s="81"/>
      <c r="E1107" s="81"/>
      <c r="F1107" s="81"/>
      <c r="G1107" s="81"/>
      <c r="H1107" s="80"/>
      <c r="I1107" s="80"/>
      <c r="J1107" s="80"/>
      <c r="K1107" s="80"/>
      <c r="L1107" s="80"/>
      <c r="M1107" s="80"/>
      <c r="N1107" s="80"/>
      <c r="O1107" s="80"/>
      <c r="P1107" s="80"/>
      <c r="Q1107" s="80"/>
      <c r="R1107" s="80"/>
      <c r="S1107" s="80"/>
      <c r="T1107" s="80"/>
      <c r="U1107" s="80"/>
      <c r="V1107" s="80"/>
      <c r="W1107" s="80"/>
      <c r="X1107" s="80"/>
      <c r="Y1107" s="80"/>
      <c r="Z1107" s="80"/>
      <c r="AA1107" s="80"/>
      <c r="AB1107" s="80"/>
      <c r="AC1107" s="75"/>
      <c r="AD1107" s="75"/>
      <c r="AE1107" s="75"/>
      <c r="AF1107" s="75"/>
      <c r="AG1107" s="75"/>
      <c r="AH1107" s="75"/>
      <c r="AI1107" s="75"/>
      <c r="AJ1107" s="75"/>
      <c r="AK1107" s="75"/>
      <c r="AL1107" s="75"/>
      <c r="AM1107" s="75"/>
      <c r="AN1107" s="75"/>
      <c r="AO1107" s="76">
        <f t="shared" si="68"/>
        <v>0</v>
      </c>
      <c r="AP1107" s="592"/>
    </row>
    <row r="1108" spans="2:42" s="83" customFormat="1" ht="15">
      <c r="B1108" s="79" t="s">
        <v>76</v>
      </c>
      <c r="C1108" s="82"/>
      <c r="D1108" s="81"/>
      <c r="E1108" s="81"/>
      <c r="F1108" s="81"/>
      <c r="G1108" s="81"/>
      <c r="H1108" s="80"/>
      <c r="I1108" s="80"/>
      <c r="J1108" s="80"/>
      <c r="K1108" s="80"/>
      <c r="L1108" s="80"/>
      <c r="M1108" s="80"/>
      <c r="N1108" s="80"/>
      <c r="O1108" s="80"/>
      <c r="P1108" s="80"/>
      <c r="Q1108" s="80"/>
      <c r="R1108" s="80"/>
      <c r="S1108" s="80"/>
      <c r="T1108" s="80"/>
      <c r="U1108" s="80"/>
      <c r="V1108" s="80"/>
      <c r="W1108" s="80"/>
      <c r="X1108" s="80"/>
      <c r="Y1108" s="80"/>
      <c r="Z1108" s="80"/>
      <c r="AA1108" s="80"/>
      <c r="AB1108" s="80"/>
      <c r="AC1108" s="75"/>
      <c r="AD1108" s="75"/>
      <c r="AE1108" s="75"/>
      <c r="AF1108" s="75"/>
      <c r="AG1108" s="75"/>
      <c r="AH1108" s="75"/>
      <c r="AI1108" s="75"/>
      <c r="AJ1108" s="75"/>
      <c r="AK1108" s="75"/>
      <c r="AL1108" s="75"/>
      <c r="AM1108" s="75"/>
      <c r="AN1108" s="75"/>
      <c r="AO1108" s="76">
        <f t="shared" si="68"/>
        <v>0</v>
      </c>
      <c r="AP1108" s="592"/>
    </row>
    <row r="1109" spans="2:42" s="83" customFormat="1" ht="15">
      <c r="B1109" s="79" t="s">
        <v>76</v>
      </c>
      <c r="C1109" s="82"/>
      <c r="D1109" s="81"/>
      <c r="E1109" s="81"/>
      <c r="F1109" s="81"/>
      <c r="G1109" s="81"/>
      <c r="H1109" s="80"/>
      <c r="I1109" s="80"/>
      <c r="J1109" s="80"/>
      <c r="K1109" s="80"/>
      <c r="L1109" s="80"/>
      <c r="M1109" s="80"/>
      <c r="N1109" s="80"/>
      <c r="O1109" s="80"/>
      <c r="P1109" s="80"/>
      <c r="Q1109" s="80"/>
      <c r="R1109" s="80"/>
      <c r="S1109" s="80"/>
      <c r="T1109" s="80"/>
      <c r="U1109" s="80"/>
      <c r="V1109" s="80"/>
      <c r="W1109" s="80"/>
      <c r="X1109" s="80"/>
      <c r="Y1109" s="80"/>
      <c r="Z1109" s="80"/>
      <c r="AA1109" s="80"/>
      <c r="AB1109" s="80"/>
      <c r="AC1109" s="75"/>
      <c r="AD1109" s="75"/>
      <c r="AE1109" s="75"/>
      <c r="AF1109" s="75"/>
      <c r="AG1109" s="75"/>
      <c r="AH1109" s="75"/>
      <c r="AI1109" s="75"/>
      <c r="AJ1109" s="75"/>
      <c r="AK1109" s="75"/>
      <c r="AL1109" s="75"/>
      <c r="AM1109" s="75"/>
      <c r="AN1109" s="75"/>
      <c r="AO1109" s="76">
        <f t="shared" si="68"/>
        <v>0</v>
      </c>
      <c r="AP1109" s="592"/>
    </row>
    <row r="1110" spans="2:42" s="83" customFormat="1" ht="15">
      <c r="B1110" s="79" t="s">
        <v>76</v>
      </c>
      <c r="C1110" s="82"/>
      <c r="D1110" s="81"/>
      <c r="E1110" s="81"/>
      <c r="F1110" s="81"/>
      <c r="G1110" s="81"/>
      <c r="H1110" s="80"/>
      <c r="I1110" s="80"/>
      <c r="J1110" s="80"/>
      <c r="K1110" s="80"/>
      <c r="L1110" s="80"/>
      <c r="M1110" s="80"/>
      <c r="N1110" s="80"/>
      <c r="O1110" s="80"/>
      <c r="P1110" s="80"/>
      <c r="Q1110" s="80"/>
      <c r="R1110" s="80"/>
      <c r="S1110" s="80"/>
      <c r="T1110" s="80"/>
      <c r="U1110" s="80"/>
      <c r="V1110" s="80"/>
      <c r="W1110" s="80"/>
      <c r="X1110" s="80"/>
      <c r="Y1110" s="80"/>
      <c r="Z1110" s="80"/>
      <c r="AA1110" s="80"/>
      <c r="AB1110" s="80"/>
      <c r="AC1110" s="75"/>
      <c r="AD1110" s="75"/>
      <c r="AE1110" s="75"/>
      <c r="AF1110" s="75"/>
      <c r="AG1110" s="75"/>
      <c r="AH1110" s="75"/>
      <c r="AI1110" s="75"/>
      <c r="AJ1110" s="75"/>
      <c r="AK1110" s="75"/>
      <c r="AL1110" s="75"/>
      <c r="AM1110" s="75"/>
      <c r="AN1110" s="75"/>
      <c r="AO1110" s="76">
        <f t="shared" si="68"/>
        <v>0</v>
      </c>
      <c r="AP1110" s="592"/>
    </row>
    <row r="1111" spans="2:42" s="83" customFormat="1" ht="15">
      <c r="B1111" s="79" t="s">
        <v>76</v>
      </c>
      <c r="C1111" s="82"/>
      <c r="D1111" s="81"/>
      <c r="E1111" s="81"/>
      <c r="F1111" s="81"/>
      <c r="G1111" s="81"/>
      <c r="H1111" s="80"/>
      <c r="I1111" s="80"/>
      <c r="J1111" s="80"/>
      <c r="K1111" s="80"/>
      <c r="L1111" s="80"/>
      <c r="M1111" s="80"/>
      <c r="N1111" s="80"/>
      <c r="O1111" s="80"/>
      <c r="P1111" s="80"/>
      <c r="Q1111" s="80"/>
      <c r="R1111" s="80"/>
      <c r="S1111" s="80"/>
      <c r="T1111" s="80"/>
      <c r="U1111" s="80"/>
      <c r="V1111" s="80"/>
      <c r="W1111" s="80"/>
      <c r="X1111" s="80"/>
      <c r="Y1111" s="80"/>
      <c r="Z1111" s="80"/>
      <c r="AA1111" s="80"/>
      <c r="AB1111" s="80"/>
      <c r="AC1111" s="75"/>
      <c r="AD1111" s="75"/>
      <c r="AE1111" s="75"/>
      <c r="AF1111" s="75"/>
      <c r="AG1111" s="75"/>
      <c r="AH1111" s="75"/>
      <c r="AI1111" s="75"/>
      <c r="AJ1111" s="75"/>
      <c r="AK1111" s="75"/>
      <c r="AL1111" s="75"/>
      <c r="AM1111" s="75"/>
      <c r="AN1111" s="75"/>
      <c r="AO1111" s="76">
        <f t="shared" si="68"/>
        <v>0</v>
      </c>
      <c r="AP1111" s="592"/>
    </row>
    <row r="1112" spans="2:42" s="83" customFormat="1" ht="15">
      <c r="B1112" s="79" t="s">
        <v>76</v>
      </c>
      <c r="C1112" s="82"/>
      <c r="D1112" s="81"/>
      <c r="E1112" s="81"/>
      <c r="F1112" s="81"/>
      <c r="G1112" s="81"/>
      <c r="H1112" s="80"/>
      <c r="I1112" s="80"/>
      <c r="J1112" s="80"/>
      <c r="K1112" s="80"/>
      <c r="L1112" s="80"/>
      <c r="M1112" s="80"/>
      <c r="N1112" s="80"/>
      <c r="O1112" s="80"/>
      <c r="P1112" s="80"/>
      <c r="Q1112" s="80"/>
      <c r="R1112" s="80"/>
      <c r="S1112" s="80"/>
      <c r="T1112" s="80"/>
      <c r="U1112" s="80"/>
      <c r="V1112" s="80"/>
      <c r="W1112" s="80"/>
      <c r="X1112" s="80"/>
      <c r="Y1112" s="80"/>
      <c r="Z1112" s="80"/>
      <c r="AA1112" s="80"/>
      <c r="AB1112" s="80"/>
      <c r="AC1112" s="75"/>
      <c r="AD1112" s="75"/>
      <c r="AE1112" s="75"/>
      <c r="AF1112" s="75"/>
      <c r="AG1112" s="75"/>
      <c r="AH1112" s="75"/>
      <c r="AI1112" s="75"/>
      <c r="AJ1112" s="75"/>
      <c r="AK1112" s="75"/>
      <c r="AL1112" s="75"/>
      <c r="AM1112" s="75"/>
      <c r="AN1112" s="75"/>
      <c r="AO1112" s="76">
        <f t="shared" si="68"/>
        <v>0</v>
      </c>
      <c r="AP1112" s="592"/>
    </row>
    <row r="1113" spans="2:42" s="83" customFormat="1" ht="15">
      <c r="B1113" s="79" t="s">
        <v>76</v>
      </c>
      <c r="C1113" s="82"/>
      <c r="D1113" s="81"/>
      <c r="E1113" s="81"/>
      <c r="F1113" s="81"/>
      <c r="G1113" s="81"/>
      <c r="H1113" s="80"/>
      <c r="I1113" s="80"/>
      <c r="J1113" s="80"/>
      <c r="K1113" s="80"/>
      <c r="L1113" s="80"/>
      <c r="M1113" s="80"/>
      <c r="N1113" s="80"/>
      <c r="O1113" s="80"/>
      <c r="P1113" s="80"/>
      <c r="Q1113" s="80"/>
      <c r="R1113" s="80"/>
      <c r="S1113" s="80"/>
      <c r="T1113" s="80"/>
      <c r="U1113" s="80"/>
      <c r="V1113" s="80"/>
      <c r="W1113" s="80"/>
      <c r="X1113" s="80"/>
      <c r="Y1113" s="80"/>
      <c r="Z1113" s="80"/>
      <c r="AA1113" s="80"/>
      <c r="AB1113" s="80"/>
      <c r="AC1113" s="75"/>
      <c r="AD1113" s="75"/>
      <c r="AE1113" s="75"/>
      <c r="AF1113" s="75"/>
      <c r="AG1113" s="75"/>
      <c r="AH1113" s="75"/>
      <c r="AI1113" s="75"/>
      <c r="AJ1113" s="75"/>
      <c r="AK1113" s="75"/>
      <c r="AL1113" s="75"/>
      <c r="AM1113" s="75"/>
      <c r="AN1113" s="75"/>
      <c r="AO1113" s="76">
        <f t="shared" si="68"/>
        <v>0</v>
      </c>
      <c r="AP1113" s="592"/>
    </row>
    <row r="1114" spans="2:42" s="83" customFormat="1" ht="15">
      <c r="B1114" s="79" t="s">
        <v>76</v>
      </c>
      <c r="C1114" s="82"/>
      <c r="D1114" s="81"/>
      <c r="E1114" s="81"/>
      <c r="F1114" s="81"/>
      <c r="G1114" s="81"/>
      <c r="H1114" s="80"/>
      <c r="I1114" s="80"/>
      <c r="J1114" s="80"/>
      <c r="K1114" s="80"/>
      <c r="L1114" s="80"/>
      <c r="M1114" s="80"/>
      <c r="N1114" s="80"/>
      <c r="O1114" s="80"/>
      <c r="P1114" s="80"/>
      <c r="Q1114" s="80"/>
      <c r="R1114" s="80"/>
      <c r="S1114" s="80"/>
      <c r="T1114" s="80"/>
      <c r="U1114" s="80"/>
      <c r="V1114" s="80"/>
      <c r="W1114" s="80"/>
      <c r="X1114" s="80"/>
      <c r="Y1114" s="80"/>
      <c r="Z1114" s="80"/>
      <c r="AA1114" s="80"/>
      <c r="AB1114" s="80"/>
      <c r="AC1114" s="75"/>
      <c r="AD1114" s="75"/>
      <c r="AE1114" s="75"/>
      <c r="AF1114" s="75"/>
      <c r="AG1114" s="75"/>
      <c r="AH1114" s="75"/>
      <c r="AI1114" s="75"/>
      <c r="AJ1114" s="75"/>
      <c r="AK1114" s="75"/>
      <c r="AL1114" s="75"/>
      <c r="AM1114" s="75"/>
      <c r="AN1114" s="75"/>
      <c r="AO1114" s="76">
        <f t="shared" si="68"/>
        <v>0</v>
      </c>
      <c r="AP1114" s="592"/>
    </row>
    <row r="1115" spans="2:42" s="83" customFormat="1" ht="15">
      <c r="B1115" s="79" t="s">
        <v>76</v>
      </c>
      <c r="C1115" s="82"/>
      <c r="D1115" s="81"/>
      <c r="E1115" s="81"/>
      <c r="F1115" s="81"/>
      <c r="G1115" s="81"/>
      <c r="H1115" s="80"/>
      <c r="I1115" s="80"/>
      <c r="J1115" s="80"/>
      <c r="K1115" s="80"/>
      <c r="L1115" s="80"/>
      <c r="M1115" s="80"/>
      <c r="N1115" s="80"/>
      <c r="O1115" s="80"/>
      <c r="P1115" s="80"/>
      <c r="Q1115" s="80"/>
      <c r="R1115" s="80"/>
      <c r="S1115" s="80"/>
      <c r="T1115" s="80"/>
      <c r="U1115" s="80"/>
      <c r="V1115" s="80"/>
      <c r="W1115" s="80"/>
      <c r="X1115" s="80"/>
      <c r="Y1115" s="80"/>
      <c r="Z1115" s="80"/>
      <c r="AA1115" s="80"/>
      <c r="AB1115" s="80"/>
      <c r="AC1115" s="75"/>
      <c r="AD1115" s="75"/>
      <c r="AE1115" s="75"/>
      <c r="AF1115" s="75"/>
      <c r="AG1115" s="75"/>
      <c r="AH1115" s="75"/>
      <c r="AI1115" s="75"/>
      <c r="AJ1115" s="75"/>
      <c r="AK1115" s="75"/>
      <c r="AL1115" s="75"/>
      <c r="AM1115" s="75"/>
      <c r="AN1115" s="75"/>
      <c r="AO1115" s="76">
        <f t="shared" si="68"/>
        <v>0</v>
      </c>
      <c r="AP1115" s="592"/>
    </row>
    <row r="1116" spans="2:42" s="83" customFormat="1" ht="15">
      <c r="B1116" s="79" t="s">
        <v>76</v>
      </c>
      <c r="C1116" s="82"/>
      <c r="D1116" s="81"/>
      <c r="E1116" s="81"/>
      <c r="F1116" s="81"/>
      <c r="G1116" s="81"/>
      <c r="H1116" s="80"/>
      <c r="I1116" s="80"/>
      <c r="J1116" s="80"/>
      <c r="K1116" s="80"/>
      <c r="L1116" s="80"/>
      <c r="M1116" s="80"/>
      <c r="N1116" s="80"/>
      <c r="O1116" s="80"/>
      <c r="P1116" s="80"/>
      <c r="Q1116" s="80"/>
      <c r="R1116" s="80"/>
      <c r="S1116" s="80"/>
      <c r="T1116" s="80"/>
      <c r="U1116" s="80"/>
      <c r="V1116" s="80"/>
      <c r="W1116" s="80"/>
      <c r="X1116" s="80"/>
      <c r="Y1116" s="80"/>
      <c r="Z1116" s="80"/>
      <c r="AA1116" s="80"/>
      <c r="AB1116" s="80"/>
      <c r="AC1116" s="75"/>
      <c r="AD1116" s="75"/>
      <c r="AE1116" s="75"/>
      <c r="AF1116" s="75"/>
      <c r="AG1116" s="75"/>
      <c r="AH1116" s="75"/>
      <c r="AI1116" s="75"/>
      <c r="AJ1116" s="75"/>
      <c r="AK1116" s="75"/>
      <c r="AL1116" s="75"/>
      <c r="AM1116" s="75"/>
      <c r="AN1116" s="75"/>
      <c r="AO1116" s="76">
        <f t="shared" si="68"/>
        <v>0</v>
      </c>
      <c r="AP1116" s="610"/>
    </row>
    <row r="1117" spans="2:42" s="83" customFormat="1" ht="15.5" thickBot="1">
      <c r="B1117" s="79" t="s">
        <v>76</v>
      </c>
      <c r="C1117" s="82"/>
      <c r="D1117" s="81"/>
      <c r="E1117" s="81"/>
      <c r="F1117" s="81"/>
      <c r="G1117" s="81"/>
      <c r="H1117" s="80"/>
      <c r="I1117" s="80"/>
      <c r="J1117" s="80"/>
      <c r="K1117" s="80"/>
      <c r="L1117" s="80"/>
      <c r="M1117" s="80"/>
      <c r="N1117" s="80"/>
      <c r="O1117" s="80"/>
      <c r="P1117" s="80"/>
      <c r="Q1117" s="80"/>
      <c r="R1117" s="80"/>
      <c r="S1117" s="80"/>
      <c r="T1117" s="80"/>
      <c r="U1117" s="80"/>
      <c r="V1117" s="80"/>
      <c r="W1117" s="80"/>
      <c r="X1117" s="80"/>
      <c r="Y1117" s="80"/>
      <c r="Z1117" s="80"/>
      <c r="AA1117" s="80"/>
      <c r="AB1117" s="80"/>
      <c r="AC1117" s="75"/>
      <c r="AD1117" s="75"/>
      <c r="AE1117" s="75"/>
      <c r="AF1117" s="75"/>
      <c r="AG1117" s="75"/>
      <c r="AH1117" s="75"/>
      <c r="AI1117" s="75"/>
      <c r="AJ1117" s="75"/>
      <c r="AK1117" s="75"/>
      <c r="AL1117" s="75"/>
      <c r="AM1117" s="75"/>
      <c r="AN1117" s="75"/>
      <c r="AO1117" s="76">
        <f>SUM(I1117:AN1117)</f>
        <v>0</v>
      </c>
      <c r="AP1117" s="77"/>
    </row>
    <row r="1118" spans="2:42" s="83" customFormat="1" thickTop="1" thickBot="1">
      <c r="B1118" s="92" t="s">
        <v>68</v>
      </c>
      <c r="C1118" s="578" t="s">
        <v>67</v>
      </c>
      <c r="D1118" s="578"/>
      <c r="E1118" s="578"/>
      <c r="F1118" s="578"/>
      <c r="G1118" s="578"/>
      <c r="H1118" s="578"/>
      <c r="I1118" s="93">
        <f>SUM(I917:I1116)</f>
        <v>0</v>
      </c>
      <c r="J1118" s="93">
        <f t="shared" ref="J1118:AN1118" si="69">SUM(J917:J1116)</f>
        <v>0</v>
      </c>
      <c r="K1118" s="93">
        <f t="shared" si="69"/>
        <v>0</v>
      </c>
      <c r="L1118" s="93">
        <f t="shared" si="69"/>
        <v>0</v>
      </c>
      <c r="M1118" s="93">
        <f t="shared" si="69"/>
        <v>0</v>
      </c>
      <c r="N1118" s="93">
        <f t="shared" si="69"/>
        <v>0</v>
      </c>
      <c r="O1118" s="93">
        <f t="shared" si="69"/>
        <v>0</v>
      </c>
      <c r="P1118" s="93">
        <f t="shared" si="69"/>
        <v>0</v>
      </c>
      <c r="Q1118" s="93">
        <f t="shared" si="69"/>
        <v>0</v>
      </c>
      <c r="R1118" s="93">
        <f t="shared" si="69"/>
        <v>0</v>
      </c>
      <c r="S1118" s="93">
        <f t="shared" si="69"/>
        <v>0</v>
      </c>
      <c r="T1118" s="93">
        <f t="shared" si="69"/>
        <v>0</v>
      </c>
      <c r="U1118" s="93">
        <f t="shared" si="69"/>
        <v>0</v>
      </c>
      <c r="V1118" s="93">
        <f t="shared" si="69"/>
        <v>0</v>
      </c>
      <c r="W1118" s="93">
        <f t="shared" si="69"/>
        <v>0</v>
      </c>
      <c r="X1118" s="93">
        <f t="shared" si="69"/>
        <v>0</v>
      </c>
      <c r="Y1118" s="93">
        <f t="shared" si="69"/>
        <v>0</v>
      </c>
      <c r="Z1118" s="93">
        <f t="shared" si="69"/>
        <v>0</v>
      </c>
      <c r="AA1118" s="93">
        <f t="shared" si="69"/>
        <v>0</v>
      </c>
      <c r="AB1118" s="93">
        <f t="shared" si="69"/>
        <v>0</v>
      </c>
      <c r="AC1118" s="93">
        <f t="shared" si="69"/>
        <v>0</v>
      </c>
      <c r="AD1118" s="93">
        <f t="shared" si="69"/>
        <v>0</v>
      </c>
      <c r="AE1118" s="93">
        <f t="shared" si="69"/>
        <v>0</v>
      </c>
      <c r="AF1118" s="93">
        <f t="shared" si="69"/>
        <v>0</v>
      </c>
      <c r="AG1118" s="93">
        <f t="shared" si="69"/>
        <v>0</v>
      </c>
      <c r="AH1118" s="93">
        <f t="shared" si="69"/>
        <v>0</v>
      </c>
      <c r="AI1118" s="93">
        <f t="shared" si="69"/>
        <v>0</v>
      </c>
      <c r="AJ1118" s="93">
        <f t="shared" si="69"/>
        <v>0</v>
      </c>
      <c r="AK1118" s="93">
        <f t="shared" si="69"/>
        <v>0</v>
      </c>
      <c r="AL1118" s="93">
        <f t="shared" si="69"/>
        <v>0</v>
      </c>
      <c r="AM1118" s="93">
        <f t="shared" si="69"/>
        <v>0</v>
      </c>
      <c r="AN1118" s="93">
        <f t="shared" si="69"/>
        <v>0</v>
      </c>
      <c r="AO1118" s="389">
        <f>SUM(AO917:AO1117)</f>
        <v>0</v>
      </c>
      <c r="AP1118" s="93">
        <f>SUM(AP917:AP1116)</f>
        <v>0</v>
      </c>
    </row>
    <row r="1119" spans="2:42" s="83" customFormat="1" thickTop="1" thickBot="1">
      <c r="B1119" s="98" t="s">
        <v>68</v>
      </c>
      <c r="C1119" s="573" t="s">
        <v>67</v>
      </c>
      <c r="D1119" s="573"/>
      <c r="E1119" s="573"/>
      <c r="F1119" s="573"/>
      <c r="G1119" s="573"/>
      <c r="H1119" s="573"/>
      <c r="I1119" s="99">
        <f>I1118</f>
        <v>0</v>
      </c>
      <c r="J1119" s="569">
        <f>+J1118+K1118</f>
        <v>0</v>
      </c>
      <c r="K1119" s="570"/>
      <c r="L1119" s="99">
        <f>L1118</f>
        <v>0</v>
      </c>
      <c r="M1119" s="99">
        <f>M1118</f>
        <v>0</v>
      </c>
      <c r="N1119" s="99">
        <f>N1118</f>
        <v>0</v>
      </c>
      <c r="O1119" s="99">
        <f>O1118</f>
        <v>0</v>
      </c>
      <c r="P1119" s="99">
        <f>P1118</f>
        <v>0</v>
      </c>
      <c r="Q1119" s="572">
        <f>+Q1118+R1118+S1118+T1118+U1118+W1118+V1118+X1118+Y1118</f>
        <v>0</v>
      </c>
      <c r="R1119" s="572"/>
      <c r="S1119" s="572"/>
      <c r="T1119" s="572"/>
      <c r="U1119" s="572"/>
      <c r="V1119" s="572"/>
      <c r="W1119" s="572"/>
      <c r="X1119" s="572"/>
      <c r="Y1119" s="572"/>
      <c r="Z1119" s="572">
        <f>+Z1118+AA1118+AB1118</f>
        <v>0</v>
      </c>
      <c r="AA1119" s="572"/>
      <c r="AB1119" s="572"/>
      <c r="AC1119" s="99">
        <f>AC1118</f>
        <v>0</v>
      </c>
      <c r="AD1119" s="99">
        <f>AD1118</f>
        <v>0</v>
      </c>
      <c r="AE1119" s="99">
        <f>AE1118</f>
        <v>0</v>
      </c>
      <c r="AF1119" s="572">
        <f>+AF1118+AG1118+AH1118</f>
        <v>0</v>
      </c>
      <c r="AG1119" s="572"/>
      <c r="AH1119" s="572"/>
      <c r="AI1119" s="99">
        <f t="shared" ref="AI1119:AP1119" si="70">AI1118</f>
        <v>0</v>
      </c>
      <c r="AJ1119" s="99">
        <f t="shared" si="70"/>
        <v>0</v>
      </c>
      <c r="AK1119" s="99">
        <f t="shared" si="70"/>
        <v>0</v>
      </c>
      <c r="AL1119" s="99">
        <f t="shared" si="70"/>
        <v>0</v>
      </c>
      <c r="AM1119" s="99">
        <f t="shared" si="70"/>
        <v>0</v>
      </c>
      <c r="AN1119" s="99">
        <f t="shared" si="70"/>
        <v>0</v>
      </c>
      <c r="AO1119" s="99">
        <f t="shared" si="70"/>
        <v>0</v>
      </c>
      <c r="AP1119" s="99">
        <f t="shared" si="70"/>
        <v>0</v>
      </c>
    </row>
    <row r="1120" spans="2:42" ht="16.5" thickTop="1"/>
    <row r="1121" spans="9:49">
      <c r="I1121" s="259">
        <f>I223+I427+I644+I915+I1118</f>
        <v>3.5</v>
      </c>
      <c r="J1121" s="259">
        <f t="shared" ref="J1121:O1121" si="71">J223+J427+J644+J915+J1118</f>
        <v>0</v>
      </c>
      <c r="K1121" s="259">
        <f>K223+K427+K644+K915+K1118</f>
        <v>2</v>
      </c>
      <c r="L1121" s="259">
        <f t="shared" si="71"/>
        <v>0</v>
      </c>
      <c r="M1121" s="259">
        <f t="shared" si="71"/>
        <v>1</v>
      </c>
      <c r="N1121" s="259">
        <f t="shared" si="71"/>
        <v>0</v>
      </c>
      <c r="O1121" s="259">
        <f t="shared" si="71"/>
        <v>11</v>
      </c>
      <c r="P1121" s="259">
        <f>P223+P427+P644+P915+P1118</f>
        <v>9.5</v>
      </c>
      <c r="Q1121" s="259">
        <f t="shared" ref="Q1121:AJ1121" si="72">Q223+Q427+Q644+Q915+Q1118</f>
        <v>2.5</v>
      </c>
      <c r="R1121" s="259">
        <f t="shared" si="72"/>
        <v>0</v>
      </c>
      <c r="S1121" s="259">
        <f t="shared" si="72"/>
        <v>4</v>
      </c>
      <c r="T1121" s="259">
        <f t="shared" si="72"/>
        <v>0</v>
      </c>
      <c r="U1121" s="259">
        <f t="shared" si="72"/>
        <v>2</v>
      </c>
      <c r="V1121" s="259">
        <f t="shared" si="72"/>
        <v>0</v>
      </c>
      <c r="W1121" s="259">
        <f t="shared" si="72"/>
        <v>0</v>
      </c>
      <c r="X1121" s="259">
        <f t="shared" si="72"/>
        <v>0</v>
      </c>
      <c r="Y1121" s="259">
        <f t="shared" si="72"/>
        <v>0</v>
      </c>
      <c r="Z1121" s="259">
        <f t="shared" si="72"/>
        <v>0</v>
      </c>
      <c r="AA1121" s="259">
        <f t="shared" si="72"/>
        <v>0</v>
      </c>
      <c r="AB1121" s="259">
        <f t="shared" si="72"/>
        <v>5</v>
      </c>
      <c r="AC1121" s="259">
        <f t="shared" si="72"/>
        <v>16.5</v>
      </c>
      <c r="AD1121" s="259">
        <f t="shared" si="72"/>
        <v>0</v>
      </c>
      <c r="AE1121" s="259">
        <f t="shared" si="72"/>
        <v>0</v>
      </c>
      <c r="AF1121" s="259">
        <f t="shared" si="72"/>
        <v>0</v>
      </c>
      <c r="AG1121" s="259">
        <f t="shared" si="72"/>
        <v>0</v>
      </c>
      <c r="AH1121" s="259">
        <f t="shared" si="72"/>
        <v>0</v>
      </c>
      <c r="AI1121" s="259">
        <f t="shared" si="72"/>
        <v>0</v>
      </c>
      <c r="AJ1121" s="259">
        <f t="shared" si="72"/>
        <v>0</v>
      </c>
      <c r="AK1121" s="259">
        <f>AK223+AK427+AK644+AK915+AK1118</f>
        <v>0</v>
      </c>
      <c r="AL1121" s="259">
        <f>AL223+AL427+AL644+AL915+AL1118</f>
        <v>0</v>
      </c>
      <c r="AM1121" s="259">
        <f>AM223+AM427+AM644+AM915+AM1118</f>
        <v>0</v>
      </c>
      <c r="AN1121" s="259">
        <f>AN223+AN427+AN644+AN915+AN1118</f>
        <v>0</v>
      </c>
      <c r="AO1121" s="260"/>
      <c r="AP1121" s="260"/>
      <c r="AQ1121" s="260"/>
      <c r="AR1121" s="260"/>
      <c r="AS1121" s="260"/>
      <c r="AT1121" s="260"/>
      <c r="AU1121" s="260"/>
      <c r="AV1121" s="260"/>
      <c r="AW1121" s="260"/>
    </row>
    <row r="1136" spans="9:49" ht="16.5" thickBot="1"/>
    <row r="1137" spans="26:38" ht="16.5" thickTop="1">
      <c r="AE1137" s="604" t="s">
        <v>116</v>
      </c>
      <c r="AF1137" s="605"/>
      <c r="AG1137" s="608" t="s">
        <v>33</v>
      </c>
      <c r="AH1137" s="609"/>
      <c r="AI1137" s="608" t="s">
        <v>34</v>
      </c>
      <c r="AJ1137" s="609"/>
      <c r="AK1137" s="608" t="s">
        <v>33</v>
      </c>
      <c r="AL1137" s="609"/>
    </row>
    <row r="1138" spans="26:38" ht="16.5" thickBot="1">
      <c r="AE1138" s="606"/>
      <c r="AF1138" s="607"/>
      <c r="AG1138" s="467" t="s">
        <v>117</v>
      </c>
      <c r="AH1138" s="468" t="s">
        <v>98</v>
      </c>
      <c r="AI1138" s="469" t="s">
        <v>117</v>
      </c>
      <c r="AJ1138" s="470" t="s">
        <v>98</v>
      </c>
      <c r="AK1138" s="467" t="s">
        <v>117</v>
      </c>
      <c r="AL1138" s="468" t="s">
        <v>98</v>
      </c>
    </row>
    <row r="1139" spans="26:38" ht="18.5" thickTop="1" thickBot="1">
      <c r="Z1139" s="611" t="s">
        <v>125</v>
      </c>
      <c r="AA1139" s="611"/>
      <c r="AB1139" s="611"/>
      <c r="AC1139" s="611"/>
      <c r="AE1139" s="569" t="s">
        <v>101</v>
      </c>
      <c r="AF1139" s="595"/>
      <c r="AG1139" s="598">
        <v>1388</v>
      </c>
      <c r="AH1139" s="599"/>
      <c r="AI1139" s="596">
        <v>1334</v>
      </c>
      <c r="AJ1139" s="597"/>
      <c r="AK1139" s="598">
        <v>1384</v>
      </c>
      <c r="AL1139" s="599"/>
    </row>
    <row r="1140" spans="26:38" ht="16.5" thickTop="1">
      <c r="AE1140" s="602" t="s">
        <v>118</v>
      </c>
      <c r="AF1140" s="603"/>
      <c r="AG1140" s="473">
        <v>9.5</v>
      </c>
      <c r="AH1140" s="481">
        <f>AG1140/AG1139</f>
        <v>6.8443804034582136E-3</v>
      </c>
      <c r="AI1140" s="483">
        <v>9</v>
      </c>
      <c r="AJ1140" s="481">
        <f>AI1140/AI1139</f>
        <v>6.746626686656672E-3</v>
      </c>
      <c r="AK1140" s="471">
        <v>30.5</v>
      </c>
      <c r="AL1140" s="486">
        <f>AK1140/AK1139</f>
        <v>2.203757225433526E-2</v>
      </c>
    </row>
    <row r="1141" spans="26:38" ht="17.5">
      <c r="Z1141" s="475" t="s">
        <v>126</v>
      </c>
      <c r="AA1141" s="475" t="s">
        <v>127</v>
      </c>
      <c r="AB1141" s="475" t="s">
        <v>128</v>
      </c>
      <c r="AC1141" s="475" t="s">
        <v>98</v>
      </c>
      <c r="AE1141" s="600" t="s">
        <v>119</v>
      </c>
      <c r="AF1141" s="601"/>
      <c r="AG1141" s="474">
        <v>1</v>
      </c>
      <c r="AH1141" s="482">
        <f>AG1141/AG1139</f>
        <v>7.2046109510086451E-4</v>
      </c>
      <c r="AI1141" s="166">
        <v>1.5</v>
      </c>
      <c r="AJ1141" s="482">
        <f>AI1141/AI1139</f>
        <v>1.1244377811094452E-3</v>
      </c>
      <c r="AK1141" s="472">
        <v>2</v>
      </c>
      <c r="AL1141" s="487">
        <f>AK1141/AK1139</f>
        <v>1.4450867052023121E-3</v>
      </c>
    </row>
    <row r="1142" spans="26:38">
      <c r="Z1142" s="74">
        <v>1</v>
      </c>
      <c r="AA1142" s="74" t="s">
        <v>118</v>
      </c>
      <c r="AB1142" s="74">
        <v>30.5</v>
      </c>
      <c r="AC1142" s="74">
        <v>2.2000000000000002</v>
      </c>
      <c r="AE1142" s="600" t="s">
        <v>112</v>
      </c>
      <c r="AF1142" s="601"/>
      <c r="AG1142" s="474">
        <v>0</v>
      </c>
      <c r="AH1142" s="482">
        <f>AG1142/AG1139</f>
        <v>0</v>
      </c>
      <c r="AI1142" s="166">
        <v>0</v>
      </c>
      <c r="AJ1142" s="482">
        <f>AI1142/AI1139</f>
        <v>0</v>
      </c>
      <c r="AK1142" s="472">
        <v>0</v>
      </c>
      <c r="AL1142" s="487">
        <f>AK1142/AK1139</f>
        <v>0</v>
      </c>
    </row>
    <row r="1143" spans="26:38">
      <c r="Z1143" s="74">
        <v>2</v>
      </c>
      <c r="AA1143" s="74" t="s">
        <v>122</v>
      </c>
      <c r="AB1143" s="74">
        <v>10</v>
      </c>
      <c r="AC1143" s="74">
        <v>0.7</v>
      </c>
      <c r="AE1143" s="600" t="s">
        <v>114</v>
      </c>
      <c r="AF1143" s="601"/>
      <c r="AG1143" s="474">
        <v>20</v>
      </c>
      <c r="AH1143" s="482">
        <f>AG1143/AG1139</f>
        <v>1.4409221902017291E-2</v>
      </c>
      <c r="AI1143" s="166">
        <v>0.5</v>
      </c>
      <c r="AJ1143" s="482">
        <f>AI1143/AI1139</f>
        <v>3.7481259370314841E-4</v>
      </c>
      <c r="AK1143" s="472">
        <v>0</v>
      </c>
      <c r="AL1143" s="487">
        <f>AK1143/AK1139</f>
        <v>0</v>
      </c>
    </row>
    <row r="1144" spans="26:38">
      <c r="Z1144" s="74">
        <v>3</v>
      </c>
      <c r="AA1144" s="74" t="s">
        <v>121</v>
      </c>
      <c r="AB1144" s="74">
        <v>6</v>
      </c>
      <c r="AC1144" s="476">
        <v>0.4</v>
      </c>
      <c r="AE1144" s="600" t="s">
        <v>130</v>
      </c>
      <c r="AF1144" s="601"/>
      <c r="AG1144" s="474">
        <v>1.5</v>
      </c>
      <c r="AH1144" s="482">
        <f>AG1144/AG1139</f>
        <v>1.0806916426512969E-3</v>
      </c>
      <c r="AI1144" s="166">
        <v>0.5</v>
      </c>
      <c r="AJ1144" s="482">
        <f>AI1144/AI1139</f>
        <v>3.7481259370314841E-4</v>
      </c>
      <c r="AK1144" s="472">
        <v>0</v>
      </c>
      <c r="AL1144" s="487">
        <f>AK1144/AK1139</f>
        <v>0</v>
      </c>
    </row>
    <row r="1145" spans="26:38">
      <c r="AE1145" s="600" t="s">
        <v>124</v>
      </c>
      <c r="AF1145" s="601"/>
      <c r="AG1145" s="474">
        <v>0.5</v>
      </c>
      <c r="AH1145" s="482">
        <f>AG1145/AG1139</f>
        <v>3.6023054755043225E-4</v>
      </c>
      <c r="AI1145" s="166">
        <v>0</v>
      </c>
      <c r="AJ1145" s="482">
        <f>AI1145/AI1140</f>
        <v>0</v>
      </c>
      <c r="AK1145" s="472">
        <f>AK172</f>
        <v>0</v>
      </c>
      <c r="AL1145" s="487">
        <f>AK1145/AK1140</f>
        <v>0</v>
      </c>
    </row>
    <row r="1146" spans="26:38">
      <c r="AE1146" s="600" t="s">
        <v>39</v>
      </c>
      <c r="AF1146" s="601"/>
      <c r="AG1146" s="474">
        <v>1</v>
      </c>
      <c r="AH1146" s="482">
        <f>AG1146/AG1139</f>
        <v>7.2046109510086451E-4</v>
      </c>
      <c r="AI1146" s="166">
        <v>0</v>
      </c>
      <c r="AJ1146" s="482">
        <f>AI1146/AI1139</f>
        <v>0</v>
      </c>
      <c r="AK1146" s="472">
        <f>AL171</f>
        <v>0</v>
      </c>
      <c r="AL1146" s="487">
        <f>AK1146/AK1139</f>
        <v>0</v>
      </c>
    </row>
    <row r="1147" spans="26:38">
      <c r="AE1147" s="600" t="s">
        <v>120</v>
      </c>
      <c r="AF1147" s="601"/>
      <c r="AG1147" s="474">
        <v>0</v>
      </c>
      <c r="AH1147" s="482">
        <f>AG1147/AG1139</f>
        <v>0</v>
      </c>
      <c r="AI1147" s="166">
        <v>0</v>
      </c>
      <c r="AJ1147" s="482">
        <f>AI1147/AI1139</f>
        <v>0</v>
      </c>
      <c r="AK1147" s="472">
        <v>0</v>
      </c>
      <c r="AL1147" s="487">
        <f>AK1147/AK1139</f>
        <v>0</v>
      </c>
    </row>
    <row r="1148" spans="26:38">
      <c r="AE1148" s="600" t="s">
        <v>121</v>
      </c>
      <c r="AF1148" s="601"/>
      <c r="AG1148" s="474">
        <v>5.5</v>
      </c>
      <c r="AH1148" s="482">
        <f>AG1148/AG1139</f>
        <v>3.9625360230547552E-3</v>
      </c>
      <c r="AI1148" s="166">
        <v>37.5</v>
      </c>
      <c r="AJ1148" s="482">
        <f>AI1148/AI1139</f>
        <v>2.8110944527736131E-2</v>
      </c>
      <c r="AK1148" s="472">
        <v>6</v>
      </c>
      <c r="AL1148" s="487">
        <f>AK1148/AK1139</f>
        <v>4.335260115606936E-3</v>
      </c>
    </row>
    <row r="1149" spans="26:38">
      <c r="AE1149" s="600" t="s">
        <v>122</v>
      </c>
      <c r="AF1149" s="601"/>
      <c r="AG1149" s="474">
        <v>7</v>
      </c>
      <c r="AH1149" s="482">
        <f>AG1149/AG1139</f>
        <v>5.0432276657060519E-3</v>
      </c>
      <c r="AI1149" s="166">
        <v>20.5</v>
      </c>
      <c r="AJ1149" s="482">
        <f>AI1149/AI1139</f>
        <v>1.5367316341829085E-2</v>
      </c>
      <c r="AK1149" s="472">
        <v>10</v>
      </c>
      <c r="AL1149" s="487">
        <f>AK1149/AK1139</f>
        <v>7.2254335260115606E-3</v>
      </c>
    </row>
    <row r="1150" spans="26:38">
      <c r="AE1150" s="600" t="s">
        <v>123</v>
      </c>
      <c r="AF1150" s="601"/>
      <c r="AG1150" s="474">
        <v>1.5</v>
      </c>
      <c r="AH1150" s="482">
        <f>AG1150/AG1139</f>
        <v>1.0806916426512969E-3</v>
      </c>
      <c r="AI1150" s="166">
        <v>0.5</v>
      </c>
      <c r="AJ1150" s="482">
        <f>AI1150/AI1139</f>
        <v>3.7481259370314841E-4</v>
      </c>
      <c r="AK1150" s="472">
        <v>2</v>
      </c>
      <c r="AL1150" s="487">
        <f>AK1150/AK1139</f>
        <v>1.4450867052023121E-3</v>
      </c>
    </row>
    <row r="1151" spans="26:38">
      <c r="AE1151" s="600" t="s">
        <v>82</v>
      </c>
      <c r="AF1151" s="601"/>
      <c r="AG1151" s="474">
        <v>0.5</v>
      </c>
      <c r="AH1151" s="482">
        <f>AG1151/AG1139</f>
        <v>3.6023054755043225E-4</v>
      </c>
      <c r="AI1151" s="166">
        <v>0.5</v>
      </c>
      <c r="AJ1151" s="482">
        <f>AI1151/AI1139</f>
        <v>3.7481259370314841E-4</v>
      </c>
      <c r="AK1151" s="472">
        <v>1</v>
      </c>
      <c r="AL1151" s="487">
        <f>AK1151/AK1139</f>
        <v>7.2254335260115603E-4</v>
      </c>
    </row>
    <row r="1153" spans="30:32">
      <c r="AE1153" s="71" t="s">
        <v>33</v>
      </c>
    </row>
    <row r="1154" spans="30:32">
      <c r="AE1154" s="71" t="s">
        <v>148</v>
      </c>
      <c r="AF1154" s="71" t="s">
        <v>147</v>
      </c>
    </row>
    <row r="1155" spans="30:32">
      <c r="AD1155" s="71" t="s">
        <v>152</v>
      </c>
      <c r="AE1155" s="71">
        <v>1450</v>
      </c>
    </row>
    <row r="1156" spans="30:32">
      <c r="AD1156" s="71" t="s">
        <v>150</v>
      </c>
      <c r="AE1156" s="71">
        <v>25</v>
      </c>
      <c r="AF1156" s="71">
        <v>75</v>
      </c>
    </row>
    <row r="1157" spans="30:32">
      <c r="AD1157" s="71" t="s">
        <v>151</v>
      </c>
    </row>
    <row r="1158" spans="30:32">
      <c r="AD1158" s="71" t="s">
        <v>149</v>
      </c>
    </row>
  </sheetData>
  <protectedRanges>
    <protectedRange sqref="E40" name="Range1_5_5_3_1_2"/>
    <protectedRange sqref="E676:E683" name="Range1_5_5_3_1_2_3"/>
    <protectedRange sqref="F676:G682" name="Range1_5_2_1_2_1"/>
  </protectedRanges>
  <autoFilter ref="B4:AO1119" xr:uid="{00000000-0009-0000-0000-000004000000}"/>
  <mergeCells count="99">
    <mergeCell ref="AP6:AP8"/>
    <mergeCell ref="AP9:AP20"/>
    <mergeCell ref="B2:E2"/>
    <mergeCell ref="AP775:AP792"/>
    <mergeCell ref="J428:K428"/>
    <mergeCell ref="AP452:AP475"/>
    <mergeCell ref="AP476:AP483"/>
    <mergeCell ref="AP514:AP542"/>
    <mergeCell ref="AP484:AP490"/>
    <mergeCell ref="AP491:AP496"/>
    <mergeCell ref="Q428:Y428"/>
    <mergeCell ref="Z428:AB428"/>
    <mergeCell ref="AP358:AP393"/>
    <mergeCell ref="AP311:AP339"/>
    <mergeCell ref="C427:H427"/>
    <mergeCell ref="AF428:AH428"/>
    <mergeCell ref="Z1139:AC1139"/>
    <mergeCell ref="AF1119:AH1119"/>
    <mergeCell ref="AF916:AH916"/>
    <mergeCell ref="AF645:AH645"/>
    <mergeCell ref="AG1139:AH1139"/>
    <mergeCell ref="AP1077:AP1116"/>
    <mergeCell ref="AP985:AP995"/>
    <mergeCell ref="AP996:AP1002"/>
    <mergeCell ref="AP849:AP884"/>
    <mergeCell ref="AP1025:AP1066"/>
    <mergeCell ref="AP950:AP969"/>
    <mergeCell ref="AP970:AP984"/>
    <mergeCell ref="AP885:AP914"/>
    <mergeCell ref="AP939:AP943"/>
    <mergeCell ref="AP929:AP935"/>
    <mergeCell ref="AP936:AP937"/>
    <mergeCell ref="AP793:AP813"/>
    <mergeCell ref="AP816:AP838"/>
    <mergeCell ref="AE1137:AF1138"/>
    <mergeCell ref="AG1137:AH1137"/>
    <mergeCell ref="AP429:AP433"/>
    <mergeCell ref="AP647:AP651"/>
    <mergeCell ref="AP652:AP657"/>
    <mergeCell ref="AP658:AP669"/>
    <mergeCell ref="AP696:AP706"/>
    <mergeCell ref="AP707:AP720"/>
    <mergeCell ref="AP721:AP747"/>
    <mergeCell ref="AI1137:AJ1137"/>
    <mergeCell ref="AK1137:AL1137"/>
    <mergeCell ref="AP670:AP675"/>
    <mergeCell ref="AP917:AP922"/>
    <mergeCell ref="AP923:AP928"/>
    <mergeCell ref="AI1139:AJ1139"/>
    <mergeCell ref="AK1139:AL1139"/>
    <mergeCell ref="AE1150:AF1150"/>
    <mergeCell ref="AE1139:AF1139"/>
    <mergeCell ref="AE1151:AF1151"/>
    <mergeCell ref="AE1140:AF1140"/>
    <mergeCell ref="AE1141:AF1141"/>
    <mergeCell ref="AE1142:AF1142"/>
    <mergeCell ref="AE1143:AF1143"/>
    <mergeCell ref="AE1146:AF1146"/>
    <mergeCell ref="AE1145:AF1145"/>
    <mergeCell ref="AE1144:AF1144"/>
    <mergeCell ref="AE1149:AF1149"/>
    <mergeCell ref="AE1147:AF1147"/>
    <mergeCell ref="AE1148:AF1148"/>
    <mergeCell ref="C644:H644"/>
    <mergeCell ref="C428:H428"/>
    <mergeCell ref="C1119:H1119"/>
    <mergeCell ref="Q1119:Y1119"/>
    <mergeCell ref="Z1119:AB1119"/>
    <mergeCell ref="J1119:K1119"/>
    <mergeCell ref="C645:H645"/>
    <mergeCell ref="Z645:AB645"/>
    <mergeCell ref="J645:K645"/>
    <mergeCell ref="Q645:Y645"/>
    <mergeCell ref="C1118:H1118"/>
    <mergeCell ref="J916:K916"/>
    <mergeCell ref="C916:H916"/>
    <mergeCell ref="Q916:Y916"/>
    <mergeCell ref="C915:H915"/>
    <mergeCell ref="Z916:AB916"/>
    <mergeCell ref="J224:K224"/>
    <mergeCell ref="C223:H223"/>
    <mergeCell ref="AF224:AH224"/>
    <mergeCell ref="Z224:AB224"/>
    <mergeCell ref="C224:H224"/>
    <mergeCell ref="Q224:Y224"/>
    <mergeCell ref="AP39:AP76"/>
    <mergeCell ref="AP77:AP83"/>
    <mergeCell ref="AP135:AP165"/>
    <mergeCell ref="AP113:AP126"/>
    <mergeCell ref="AP21:AP24"/>
    <mergeCell ref="AP25:AP30"/>
    <mergeCell ref="AP31:AP35"/>
    <mergeCell ref="AP182:AP222"/>
    <mergeCell ref="AP262:AP289"/>
    <mergeCell ref="AP290:AP310"/>
    <mergeCell ref="AP225:AP227"/>
    <mergeCell ref="AP228:AP232"/>
    <mergeCell ref="AP233:AP243"/>
    <mergeCell ref="AP244:AP250"/>
  </mergeCells>
  <pageMargins left="0" right="0" top="1.25" bottom="0" header="0" footer="0"/>
  <pageSetup paperSize="9"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00B050"/>
  </sheetPr>
  <dimension ref="B2:AL59"/>
  <sheetViews>
    <sheetView showGridLines="0" zoomScale="106" zoomScaleNormal="106" workbookViewId="0">
      <pane xSplit="3" ySplit="4" topLeftCell="D5" activePane="bottomRight" state="frozen"/>
      <selection pane="topRight" activeCell="D1" sqref="D1"/>
      <selection pane="bottomLeft" activeCell="A6" sqref="A6"/>
      <selection pane="bottomRight" activeCell="D8" sqref="D8"/>
    </sheetView>
  </sheetViews>
  <sheetFormatPr defaultRowHeight="14.5"/>
  <cols>
    <col min="1" max="1" width="2.54296875" customWidth="1"/>
    <col min="2" max="2" width="7.54296875" customWidth="1"/>
    <col min="3" max="3" width="10.453125" customWidth="1"/>
    <col min="5" max="5" width="9.7265625" hidden="1" customWidth="1"/>
    <col min="7" max="7" width="9.81640625" hidden="1" customWidth="1"/>
    <col min="9" max="9" width="10" bestFit="1" customWidth="1"/>
    <col min="10" max="10" width="0" hidden="1" customWidth="1"/>
    <col min="12" max="12" width="0" hidden="1" customWidth="1"/>
    <col min="14" max="16" width="0" hidden="1" customWidth="1"/>
    <col min="18" max="22" width="0" hidden="1" customWidth="1"/>
    <col min="25" max="29" width="0" hidden="1" customWidth="1"/>
    <col min="31" max="31" width="8" hidden="1" customWidth="1"/>
    <col min="32" max="32" width="7.81640625" hidden="1" customWidth="1"/>
    <col min="33" max="33" width="8.26953125" hidden="1" customWidth="1"/>
    <col min="34" max="36" width="7.54296875" hidden="1" customWidth="1"/>
  </cols>
  <sheetData>
    <row r="2" spans="2:38" ht="28.5">
      <c r="C2" s="615" t="s">
        <v>44</v>
      </c>
      <c r="D2" s="615"/>
      <c r="E2" s="615"/>
      <c r="F2" s="615"/>
      <c r="G2" s="615"/>
      <c r="H2" s="615"/>
      <c r="I2" s="615"/>
      <c r="J2" s="615"/>
      <c r="K2" s="615"/>
      <c r="L2" s="615"/>
      <c r="M2" s="615"/>
      <c r="N2" s="615"/>
      <c r="O2" s="615"/>
      <c r="P2" s="615"/>
      <c r="Q2" s="615"/>
      <c r="R2" s="615"/>
      <c r="S2" s="615"/>
      <c r="T2" s="615"/>
      <c r="U2" s="615"/>
      <c r="V2" s="615"/>
      <c r="W2" s="615"/>
      <c r="X2" s="615"/>
      <c r="Y2" s="615"/>
      <c r="Z2" s="615"/>
      <c r="AA2" s="615"/>
      <c r="AB2" s="615"/>
      <c r="AC2" s="615"/>
      <c r="AD2" s="615"/>
      <c r="AE2" s="615"/>
      <c r="AF2" s="615"/>
      <c r="AG2" s="615"/>
      <c r="AH2" s="615"/>
      <c r="AI2" s="615"/>
      <c r="AJ2" s="615"/>
      <c r="AK2" s="615"/>
      <c r="AL2" s="615"/>
    </row>
    <row r="4" spans="2:38" s="112" customFormat="1" ht="38" thickBot="1">
      <c r="D4" s="115" t="s">
        <v>12</v>
      </c>
      <c r="E4" s="115" t="s">
        <v>86</v>
      </c>
      <c r="F4" s="115" t="s">
        <v>87</v>
      </c>
      <c r="G4" s="115" t="s">
        <v>113</v>
      </c>
      <c r="H4" s="115" t="s">
        <v>114</v>
      </c>
      <c r="I4" s="115" t="s">
        <v>15</v>
      </c>
      <c r="J4" s="115" t="s">
        <v>14</v>
      </c>
      <c r="K4" s="115" t="s">
        <v>47</v>
      </c>
      <c r="L4" s="115" t="s">
        <v>55</v>
      </c>
      <c r="M4" s="115" t="s">
        <v>56</v>
      </c>
      <c r="N4" s="115" t="s">
        <v>57</v>
      </c>
      <c r="O4" s="115" t="s">
        <v>58</v>
      </c>
      <c r="P4" s="115" t="s">
        <v>91</v>
      </c>
      <c r="Q4" s="115" t="s">
        <v>59</v>
      </c>
      <c r="R4" s="115" t="s">
        <v>93</v>
      </c>
      <c r="S4" s="115" t="s">
        <v>77</v>
      </c>
      <c r="T4" s="115" t="s">
        <v>78</v>
      </c>
      <c r="U4" s="115" t="s">
        <v>60</v>
      </c>
      <c r="V4" s="115" t="s">
        <v>61</v>
      </c>
      <c r="W4" s="115" t="s">
        <v>62</v>
      </c>
      <c r="X4" s="113" t="s">
        <v>39</v>
      </c>
      <c r="Y4" s="115" t="s">
        <v>41</v>
      </c>
      <c r="Z4" s="115" t="s">
        <v>31</v>
      </c>
      <c r="AA4" s="113" t="s">
        <v>79</v>
      </c>
      <c r="AB4" s="115" t="s">
        <v>80</v>
      </c>
      <c r="AC4" s="115" t="s">
        <v>81</v>
      </c>
      <c r="AD4" s="115" t="s">
        <v>38</v>
      </c>
      <c r="AE4" s="115" t="s">
        <v>40</v>
      </c>
      <c r="AF4" s="115" t="s">
        <v>85</v>
      </c>
      <c r="AG4" s="115" t="s">
        <v>90</v>
      </c>
      <c r="AH4" s="115" t="s">
        <v>94</v>
      </c>
      <c r="AI4" s="115" t="s">
        <v>111</v>
      </c>
      <c r="AJ4" s="115" t="s">
        <v>112</v>
      </c>
      <c r="AK4" s="116" t="s">
        <v>82</v>
      </c>
      <c r="AL4" s="114" t="s">
        <v>6</v>
      </c>
    </row>
    <row r="5" spans="2:38" s="20" customFormat="1" ht="15" thickTop="1">
      <c r="B5" s="618" t="s">
        <v>32</v>
      </c>
      <c r="C5" s="120" t="s">
        <v>42</v>
      </c>
      <c r="D5" s="121">
        <f>B.Grade!H52</f>
        <v>0</v>
      </c>
      <c r="E5" s="121">
        <f>B.Grade!I52</f>
        <v>0</v>
      </c>
      <c r="F5" s="121">
        <f>B.Grade!J52</f>
        <v>0</v>
      </c>
      <c r="G5" s="121">
        <f>B.Grade!K52</f>
        <v>0</v>
      </c>
      <c r="H5" s="121">
        <f>B.Grade!L52</f>
        <v>0</v>
      </c>
      <c r="I5" s="121">
        <f>B.Grade!N52</f>
        <v>0</v>
      </c>
      <c r="J5" s="121">
        <f>B.Grade!O52</f>
        <v>0</v>
      </c>
      <c r="K5" s="121">
        <f>B.Grade!P52</f>
        <v>0</v>
      </c>
      <c r="L5" s="121">
        <f>B.Grade!Q52</f>
        <v>0</v>
      </c>
      <c r="M5" s="121">
        <f>B.Grade!R52</f>
        <v>0</v>
      </c>
      <c r="N5" s="121">
        <f>B.Grade!S52</f>
        <v>0</v>
      </c>
      <c r="O5" s="121">
        <f>B.Grade!T52</f>
        <v>0</v>
      </c>
      <c r="P5" s="121">
        <f>B.Grade!U52</f>
        <v>0</v>
      </c>
      <c r="Q5" s="121">
        <f>B.Grade!V52</f>
        <v>0</v>
      </c>
      <c r="R5" s="121"/>
      <c r="S5" s="121">
        <f>B.Grade!X52</f>
        <v>0</v>
      </c>
      <c r="T5" s="121">
        <f>B.Grade!Y52</f>
        <v>0</v>
      </c>
      <c r="U5" s="121">
        <f>B.Grade!W52</f>
        <v>0</v>
      </c>
      <c r="V5" s="121">
        <f>B.Grade!X52</f>
        <v>0</v>
      </c>
      <c r="W5" s="121">
        <f>B.Grade!Y52</f>
        <v>0</v>
      </c>
      <c r="X5" s="121">
        <f>B.Grade!Z52</f>
        <v>0</v>
      </c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>
        <f>B.Grade!M52</f>
        <v>0</v>
      </c>
      <c r="AK5" s="121">
        <f>B.Grade!Z52</f>
        <v>0</v>
      </c>
      <c r="AL5" s="122">
        <f>SUM(D5:AK5)</f>
        <v>0</v>
      </c>
    </row>
    <row r="6" spans="2:38" s="20" customFormat="1">
      <c r="B6" s="619"/>
      <c r="C6" s="34" t="s">
        <v>43</v>
      </c>
      <c r="D6" s="22">
        <f>DONATION!H79</f>
        <v>0</v>
      </c>
      <c r="E6" s="22">
        <f>DONATION!I79</f>
        <v>0</v>
      </c>
      <c r="F6" s="22">
        <f>DONATION!J79</f>
        <v>0</v>
      </c>
      <c r="G6" s="22">
        <f>DONATION!K79</f>
        <v>0</v>
      </c>
      <c r="H6" s="22">
        <f>DONATION!L79</f>
        <v>0</v>
      </c>
      <c r="I6" s="22">
        <f>DONATION!M79</f>
        <v>0</v>
      </c>
      <c r="J6" s="22">
        <f>DONATION!N79</f>
        <v>0</v>
      </c>
      <c r="K6" s="22">
        <f>DONATION!O79</f>
        <v>0</v>
      </c>
      <c r="L6" s="22">
        <f>DONATION!P79</f>
        <v>0</v>
      </c>
      <c r="M6" s="22">
        <f>DONATION!Q79</f>
        <v>0</v>
      </c>
      <c r="N6" s="22">
        <f>DONATION!R79</f>
        <v>0</v>
      </c>
      <c r="O6" s="22">
        <f>DONATION!S79</f>
        <v>0</v>
      </c>
      <c r="P6" s="22">
        <f>DONATION!T79</f>
        <v>0</v>
      </c>
      <c r="Q6" s="22">
        <f>DONATION!T79</f>
        <v>0</v>
      </c>
      <c r="R6" s="22">
        <f>DONATION!U79</f>
        <v>0</v>
      </c>
      <c r="S6" s="22">
        <f>DONATION!U79</f>
        <v>0</v>
      </c>
      <c r="T6" s="22">
        <f>DONATION!V79</f>
        <v>0</v>
      </c>
      <c r="U6" s="22">
        <f>DONATION!W79</f>
        <v>0</v>
      </c>
      <c r="V6" s="22">
        <f>DONATION!X79</f>
        <v>0</v>
      </c>
      <c r="W6" s="22">
        <f>DONATION!Y79</f>
        <v>0</v>
      </c>
      <c r="X6" s="22">
        <f>DONATION!Z79</f>
        <v>0</v>
      </c>
      <c r="Y6" s="22">
        <f>DONATION!AA79</f>
        <v>0</v>
      </c>
      <c r="Z6" s="22">
        <f>DONATION!AB79</f>
        <v>0</v>
      </c>
      <c r="AA6" s="22">
        <f>DONATION!AC79</f>
        <v>0</v>
      </c>
      <c r="AB6" s="22">
        <f>DONATION!AD79</f>
        <v>0</v>
      </c>
      <c r="AC6" s="22">
        <f>DONATION!AE79</f>
        <v>0</v>
      </c>
      <c r="AD6" s="22">
        <f>DONATION!AF79</f>
        <v>0</v>
      </c>
      <c r="AE6" s="22"/>
      <c r="AF6" s="22"/>
      <c r="AG6" s="22"/>
      <c r="AH6" s="22"/>
      <c r="AI6" s="22">
        <f>DONATION!AG79</f>
        <v>0</v>
      </c>
      <c r="AJ6" s="22">
        <f>DONATION!AH79</f>
        <v>0</v>
      </c>
      <c r="AK6" s="22">
        <f>DONATION!AI79</f>
        <v>0</v>
      </c>
      <c r="AL6" s="123">
        <f>SUM(D6:AK6)</f>
        <v>0</v>
      </c>
    </row>
    <row r="7" spans="2:38" s="20" customFormat="1">
      <c r="B7" s="619"/>
      <c r="C7" s="34" t="s">
        <v>23</v>
      </c>
      <c r="D7" s="22">
        <f>'C.Grade'!I223</f>
        <v>3.5</v>
      </c>
      <c r="E7" s="22">
        <f>'C.Grade'!J223</f>
        <v>0</v>
      </c>
      <c r="F7" s="22">
        <f>'C.Grade'!K223</f>
        <v>1.5</v>
      </c>
      <c r="G7" s="22">
        <f>'C.Grade'!L223</f>
        <v>0</v>
      </c>
      <c r="H7" s="22">
        <f>'C.Grade'!M223</f>
        <v>1</v>
      </c>
      <c r="I7" s="22">
        <f>'C.Grade'!N223</f>
        <v>0</v>
      </c>
      <c r="J7" s="22">
        <f>'C.Grade'!O223</f>
        <v>0</v>
      </c>
      <c r="K7" s="22">
        <f>'C.Grade'!P223</f>
        <v>7.5</v>
      </c>
      <c r="L7" s="22">
        <f>'C.Grade'!Q223</f>
        <v>2.5</v>
      </c>
      <c r="M7" s="22">
        <f>'C.Grade'!R223</f>
        <v>0</v>
      </c>
      <c r="N7" s="22">
        <f>'C.Grade'!S223</f>
        <v>1</v>
      </c>
      <c r="O7" s="22">
        <f>'C.Grade'!T223</f>
        <v>0</v>
      </c>
      <c r="P7" s="22">
        <f>'C.Grade'!U223</f>
        <v>1</v>
      </c>
      <c r="Q7" s="22">
        <f>'C.Grade'!V223</f>
        <v>0</v>
      </c>
      <c r="R7" s="22">
        <f>'C.Grade'!W223</f>
        <v>0</v>
      </c>
      <c r="S7" s="22">
        <f>'C.Grade'!X223</f>
        <v>0</v>
      </c>
      <c r="T7" s="22">
        <f>'C.Grade'!Y223</f>
        <v>0</v>
      </c>
      <c r="U7" s="22">
        <f>'C.Grade'!Z223</f>
        <v>0</v>
      </c>
      <c r="V7" s="22">
        <f>'C.Grade'!AA223</f>
        <v>0</v>
      </c>
      <c r="W7" s="22">
        <f>'C.Grade'!AB223</f>
        <v>1.5</v>
      </c>
      <c r="X7" s="22">
        <f>'C.Grade'!AC223</f>
        <v>16.5</v>
      </c>
      <c r="Y7" s="22">
        <f>'C.Grade'!AD223</f>
        <v>0</v>
      </c>
      <c r="Z7" s="22">
        <f>'C.Grade'!AE223</f>
        <v>0</v>
      </c>
      <c r="AA7" s="22">
        <f>'C.Grade'!AF223</f>
        <v>0</v>
      </c>
      <c r="AB7" s="22">
        <f>'C.Grade'!AG223</f>
        <v>0</v>
      </c>
      <c r="AC7" s="22">
        <f>'C.Grade'!AH223</f>
        <v>0</v>
      </c>
      <c r="AD7" s="22">
        <f>'C.Grade'!AI223</f>
        <v>0</v>
      </c>
      <c r="AE7" s="22">
        <f>'C.Grade'!AJ223</f>
        <v>0</v>
      </c>
      <c r="AF7" s="22">
        <f>'C.Grade'!AK223</f>
        <v>0</v>
      </c>
      <c r="AG7" s="22">
        <f>'C.Grade'!AL223</f>
        <v>0</v>
      </c>
      <c r="AH7" s="22">
        <f>'C.Grade'!AM223</f>
        <v>0</v>
      </c>
      <c r="AI7" s="22"/>
      <c r="AJ7" s="22"/>
      <c r="AK7" s="22">
        <f>'C.Grade'!AN223</f>
        <v>0</v>
      </c>
      <c r="AL7" s="123">
        <f>SUM(D7:AK7)</f>
        <v>36</v>
      </c>
    </row>
    <row r="8" spans="2:38">
      <c r="B8" s="619"/>
      <c r="C8" s="21" t="s">
        <v>9</v>
      </c>
      <c r="D8" s="23">
        <f>SUM(D5:D7)</f>
        <v>3.5</v>
      </c>
      <c r="E8" s="23">
        <f>SUM(E5:E7)</f>
        <v>0</v>
      </c>
      <c r="F8" s="23">
        <f>SUM(F5:F7)</f>
        <v>1.5</v>
      </c>
      <c r="G8" s="23">
        <f t="shared" ref="G8:AK8" si="0">SUM(G5:G7)</f>
        <v>0</v>
      </c>
      <c r="H8" s="23">
        <f t="shared" si="0"/>
        <v>1</v>
      </c>
      <c r="I8" s="23">
        <f t="shared" si="0"/>
        <v>0</v>
      </c>
      <c r="J8" s="23">
        <f t="shared" si="0"/>
        <v>0</v>
      </c>
      <c r="K8" s="23">
        <f t="shared" si="0"/>
        <v>7.5</v>
      </c>
      <c r="L8" s="23">
        <f t="shared" si="0"/>
        <v>2.5</v>
      </c>
      <c r="M8" s="23">
        <f t="shared" si="0"/>
        <v>0</v>
      </c>
      <c r="N8" s="23">
        <f t="shared" si="0"/>
        <v>1</v>
      </c>
      <c r="O8" s="23">
        <f t="shared" si="0"/>
        <v>0</v>
      </c>
      <c r="P8" s="23">
        <f t="shared" si="0"/>
        <v>1</v>
      </c>
      <c r="Q8" s="23">
        <f t="shared" si="0"/>
        <v>0</v>
      </c>
      <c r="R8" s="23">
        <f t="shared" si="0"/>
        <v>0</v>
      </c>
      <c r="S8" s="23">
        <f t="shared" si="0"/>
        <v>0</v>
      </c>
      <c r="T8" s="23">
        <f t="shared" si="0"/>
        <v>0</v>
      </c>
      <c r="U8" s="23">
        <f t="shared" si="0"/>
        <v>0</v>
      </c>
      <c r="V8" s="23">
        <f>SUM(V5:V7)</f>
        <v>0</v>
      </c>
      <c r="W8" s="23">
        <f t="shared" si="0"/>
        <v>1.5</v>
      </c>
      <c r="X8" s="23">
        <f t="shared" si="0"/>
        <v>16.5</v>
      </c>
      <c r="Y8" s="23">
        <f t="shared" si="0"/>
        <v>0</v>
      </c>
      <c r="Z8" s="23">
        <f t="shared" si="0"/>
        <v>0</v>
      </c>
      <c r="AA8" s="23">
        <f t="shared" si="0"/>
        <v>0</v>
      </c>
      <c r="AB8" s="23">
        <f t="shared" si="0"/>
        <v>0</v>
      </c>
      <c r="AC8" s="23">
        <f t="shared" si="0"/>
        <v>0</v>
      </c>
      <c r="AD8" s="23">
        <f t="shared" si="0"/>
        <v>0</v>
      </c>
      <c r="AE8" s="23">
        <f t="shared" si="0"/>
        <v>0</v>
      </c>
      <c r="AF8" s="23">
        <f t="shared" si="0"/>
        <v>0</v>
      </c>
      <c r="AG8" s="23">
        <f>SUM(AG5:AG7)</f>
        <v>0</v>
      </c>
      <c r="AH8" s="23">
        <f>SUM(AH5:AH7)</f>
        <v>0</v>
      </c>
      <c r="AI8" s="23">
        <f>SUM(AI5:AI7)</f>
        <v>0</v>
      </c>
      <c r="AJ8" s="23">
        <f>SUM(AJ5:AJ7)</f>
        <v>0</v>
      </c>
      <c r="AK8" s="23">
        <f t="shared" si="0"/>
        <v>0</v>
      </c>
      <c r="AL8" s="124">
        <f>SUM(AL5:AL7)</f>
        <v>36</v>
      </c>
    </row>
    <row r="9" spans="2:38" ht="15" thickBot="1">
      <c r="B9" s="620"/>
      <c r="C9" s="125" t="s">
        <v>9</v>
      </c>
      <c r="D9" s="126">
        <f>D8</f>
        <v>3.5</v>
      </c>
      <c r="E9" s="621">
        <f>+E8+F8</f>
        <v>1.5</v>
      </c>
      <c r="F9" s="622"/>
      <c r="G9" s="126">
        <f>G8</f>
        <v>0</v>
      </c>
      <c r="H9" s="126">
        <f>H8</f>
        <v>1</v>
      </c>
      <c r="I9" s="126">
        <f>I8</f>
        <v>0</v>
      </c>
      <c r="J9" s="126">
        <f>J8</f>
        <v>0</v>
      </c>
      <c r="K9" s="126">
        <f>K8</f>
        <v>7.5</v>
      </c>
      <c r="L9" s="621">
        <f>+L8+M8+N8+O8+P8+Q8+R8+S8+T8</f>
        <v>4.5</v>
      </c>
      <c r="M9" s="623"/>
      <c r="N9" s="623"/>
      <c r="O9" s="623"/>
      <c r="P9" s="623"/>
      <c r="Q9" s="623"/>
      <c r="R9" s="623"/>
      <c r="S9" s="623"/>
      <c r="T9" s="622"/>
      <c r="U9" s="621">
        <f>+U8+V8+W8</f>
        <v>1.5</v>
      </c>
      <c r="V9" s="623"/>
      <c r="W9" s="622"/>
      <c r="X9" s="126">
        <f>X8</f>
        <v>16.5</v>
      </c>
      <c r="Y9" s="126">
        <f>Y8</f>
        <v>0</v>
      </c>
      <c r="Z9" s="126">
        <f>Z8</f>
        <v>0</v>
      </c>
      <c r="AA9" s="621">
        <f>+AA8+AB8+AC8</f>
        <v>0</v>
      </c>
      <c r="AB9" s="623"/>
      <c r="AC9" s="622"/>
      <c r="AD9" s="126">
        <f t="shared" ref="AD9:AL9" si="1">AD8</f>
        <v>0</v>
      </c>
      <c r="AE9" s="126">
        <f t="shared" si="1"/>
        <v>0</v>
      </c>
      <c r="AF9" s="126">
        <f t="shared" si="1"/>
        <v>0</v>
      </c>
      <c r="AG9" s="126">
        <f t="shared" si="1"/>
        <v>0</v>
      </c>
      <c r="AH9" s="126">
        <f t="shared" si="1"/>
        <v>0</v>
      </c>
      <c r="AI9" s="126">
        <f t="shared" si="1"/>
        <v>0</v>
      </c>
      <c r="AJ9" s="126">
        <f t="shared" si="1"/>
        <v>0</v>
      </c>
      <c r="AK9" s="126">
        <f t="shared" si="1"/>
        <v>0</v>
      </c>
      <c r="AL9" s="127">
        <f t="shared" si="1"/>
        <v>36</v>
      </c>
    </row>
    <row r="10" spans="2:38" s="20" customFormat="1" ht="15" thickTop="1">
      <c r="B10" s="619" t="s">
        <v>33</v>
      </c>
      <c r="C10" s="52" t="s">
        <v>42</v>
      </c>
      <c r="D10" s="119">
        <f>B.Grade!H124</f>
        <v>0</v>
      </c>
      <c r="E10" s="119">
        <f>B.Grade!I124</f>
        <v>0</v>
      </c>
      <c r="F10" s="119">
        <f>B.Grade!J124</f>
        <v>0</v>
      </c>
      <c r="G10" s="119">
        <f>B.Grade!K124</f>
        <v>0</v>
      </c>
      <c r="H10" s="119"/>
      <c r="I10" s="119">
        <f>B.Grade!N124</f>
        <v>0</v>
      </c>
      <c r="J10" s="119">
        <f>B.Grade!O124</f>
        <v>0</v>
      </c>
      <c r="K10" s="119">
        <f>B.Grade!P124</f>
        <v>0</v>
      </c>
      <c r="L10" s="119">
        <f>B.Grade!Q124</f>
        <v>0</v>
      </c>
      <c r="M10" s="119">
        <f>B.Grade!R124</f>
        <v>0</v>
      </c>
      <c r="N10" s="119">
        <f>B.Grade!S124</f>
        <v>0</v>
      </c>
      <c r="O10" s="119">
        <f>B.Grade!T124</f>
        <v>0</v>
      </c>
      <c r="P10" s="119"/>
      <c r="Q10" s="119">
        <f>B.Grade!V124</f>
        <v>0</v>
      </c>
      <c r="R10" s="119"/>
      <c r="S10" s="119"/>
      <c r="T10" s="119"/>
      <c r="U10" s="119">
        <f>B.Grade!W124</f>
        <v>0</v>
      </c>
      <c r="V10" s="119">
        <f>B.Grade!X124</f>
        <v>0</v>
      </c>
      <c r="W10" s="119">
        <f>B.Grade!Y124</f>
        <v>0</v>
      </c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>
        <f>B.Grade!L124</f>
        <v>0</v>
      </c>
      <c r="AJ10" s="119">
        <f>B.Grade!M124</f>
        <v>0</v>
      </c>
      <c r="AK10" s="119">
        <f>B.Grade!Z124</f>
        <v>0</v>
      </c>
      <c r="AL10" s="128">
        <f>SUM(D10:AK10)</f>
        <v>0</v>
      </c>
    </row>
    <row r="11" spans="2:38" s="20" customFormat="1">
      <c r="B11" s="619"/>
      <c r="C11" s="34" t="s">
        <v>43</v>
      </c>
      <c r="D11" s="22">
        <f>DONATION!H187</f>
        <v>0</v>
      </c>
      <c r="E11" s="22">
        <f>DONATION!I187</f>
        <v>0</v>
      </c>
      <c r="F11" s="22">
        <f>DONATION!J187</f>
        <v>0</v>
      </c>
      <c r="G11" s="22">
        <f>DONATION!K187</f>
        <v>0</v>
      </c>
      <c r="H11" s="22">
        <f>DONATION!L187</f>
        <v>0</v>
      </c>
      <c r="I11" s="22">
        <f>DONATION!M187</f>
        <v>0</v>
      </c>
      <c r="J11" s="22">
        <f>DONATION!N187</f>
        <v>0</v>
      </c>
      <c r="K11" s="22">
        <f>DONATION!O187</f>
        <v>0</v>
      </c>
      <c r="L11" s="22">
        <f>DONATION!P187</f>
        <v>0</v>
      </c>
      <c r="M11" s="22">
        <f>DONATION!Q187</f>
        <v>0</v>
      </c>
      <c r="N11" s="22">
        <f>DONATION!R187</f>
        <v>0</v>
      </c>
      <c r="O11" s="22">
        <f>DONATION!S187</f>
        <v>0</v>
      </c>
      <c r="P11" s="22">
        <f>DONATION!T187</f>
        <v>0</v>
      </c>
      <c r="Q11" s="22">
        <f>DONATION!T187</f>
        <v>0</v>
      </c>
      <c r="R11" s="22">
        <f>DONATION!U187</f>
        <v>0</v>
      </c>
      <c r="S11" s="22">
        <f>DONATION!U187</f>
        <v>0</v>
      </c>
      <c r="T11" s="22">
        <f>DONATION!V187</f>
        <v>0</v>
      </c>
      <c r="U11" s="22">
        <f>DONATION!W187</f>
        <v>0</v>
      </c>
      <c r="V11" s="22">
        <f>DONATION!X187</f>
        <v>0</v>
      </c>
      <c r="W11" s="22">
        <f>DONATION!Y187</f>
        <v>0</v>
      </c>
      <c r="X11" s="22">
        <f>DONATION!Z187</f>
        <v>0</v>
      </c>
      <c r="Y11" s="22">
        <f>DONATION!AA187</f>
        <v>0</v>
      </c>
      <c r="Z11" s="22">
        <f>DONATION!AB187</f>
        <v>0</v>
      </c>
      <c r="AA11" s="22">
        <f>DONATION!AC187</f>
        <v>0</v>
      </c>
      <c r="AB11" s="22">
        <f>DONATION!AD187</f>
        <v>0</v>
      </c>
      <c r="AC11" s="22">
        <f>DONATION!AE187</f>
        <v>0</v>
      </c>
      <c r="AD11" s="22">
        <f>DONATION!AF187</f>
        <v>0</v>
      </c>
      <c r="AE11" s="22">
        <f>DONATION!AI187</f>
        <v>0</v>
      </c>
      <c r="AF11" s="22"/>
      <c r="AG11" s="22"/>
      <c r="AH11" s="22"/>
      <c r="AI11" s="22">
        <f>DONATION!AG187</f>
        <v>0</v>
      </c>
      <c r="AJ11" s="22">
        <f>DONATION!AH187</f>
        <v>0</v>
      </c>
      <c r="AK11" s="22">
        <f>DONATION!AI187</f>
        <v>0</v>
      </c>
      <c r="AL11" s="123">
        <f>SUM(D11:AK11)</f>
        <v>0</v>
      </c>
    </row>
    <row r="12" spans="2:38" s="20" customFormat="1">
      <c r="B12" s="619"/>
      <c r="C12" s="34" t="s">
        <v>23</v>
      </c>
      <c r="D12" s="22">
        <f>'C.Grade'!I427</f>
        <v>0</v>
      </c>
      <c r="E12" s="22">
        <f>'C.Grade'!J427</f>
        <v>0</v>
      </c>
      <c r="F12" s="22">
        <f>'C.Grade'!K427</f>
        <v>0.5</v>
      </c>
      <c r="G12" s="22">
        <f>'C.Grade'!L427</f>
        <v>0</v>
      </c>
      <c r="H12" s="22">
        <f>'C.Grade'!M427</f>
        <v>0</v>
      </c>
      <c r="I12" s="22">
        <f>'C.Grade'!N427</f>
        <v>0</v>
      </c>
      <c r="J12" s="22">
        <f>'C.Grade'!O427</f>
        <v>11</v>
      </c>
      <c r="K12" s="22">
        <f>'C.Grade'!P427</f>
        <v>2</v>
      </c>
      <c r="L12" s="22">
        <f>'C.Grade'!Q427</f>
        <v>0</v>
      </c>
      <c r="M12" s="22">
        <f>'C.Grade'!R427</f>
        <v>0</v>
      </c>
      <c r="N12" s="22">
        <f>'C.Grade'!S427</f>
        <v>3</v>
      </c>
      <c r="O12" s="22">
        <f>'C.Grade'!T427</f>
        <v>0</v>
      </c>
      <c r="P12" s="22">
        <f>'C.Grade'!U427</f>
        <v>1</v>
      </c>
      <c r="Q12" s="22">
        <f>'C.Grade'!V427</f>
        <v>0</v>
      </c>
      <c r="R12" s="22">
        <f>'C.Grade'!W427</f>
        <v>0</v>
      </c>
      <c r="S12" s="22">
        <f>'C.Grade'!X427</f>
        <v>0</v>
      </c>
      <c r="T12" s="22">
        <f>'C.Grade'!Y427</f>
        <v>0</v>
      </c>
      <c r="U12" s="22">
        <f>'C.Grade'!Z427</f>
        <v>0</v>
      </c>
      <c r="V12" s="22">
        <f>'C.Grade'!AA427</f>
        <v>0</v>
      </c>
      <c r="W12" s="22">
        <f>'C.Grade'!AB427</f>
        <v>3.5</v>
      </c>
      <c r="X12" s="22">
        <f>'C.Grade'!AC427</f>
        <v>0</v>
      </c>
      <c r="Y12" s="22">
        <f>'C.Grade'!AD427</f>
        <v>0</v>
      </c>
      <c r="Z12" s="22">
        <f>'C.Grade'!AE427</f>
        <v>0</v>
      </c>
      <c r="AA12" s="22">
        <f>'C.Grade'!AF427</f>
        <v>0</v>
      </c>
      <c r="AB12" s="22">
        <f>'C.Grade'!AG427</f>
        <v>0</v>
      </c>
      <c r="AC12" s="22">
        <f>'C.Grade'!AH427</f>
        <v>0</v>
      </c>
      <c r="AD12" s="22">
        <f>'C.Grade'!AI427</f>
        <v>0</v>
      </c>
      <c r="AE12" s="22">
        <f>'C.Grade'!AJ427</f>
        <v>0</v>
      </c>
      <c r="AF12" s="22">
        <f>'C.Grade'!AK427</f>
        <v>0</v>
      </c>
      <c r="AG12" s="22">
        <f>'C.Grade'!AL427</f>
        <v>0</v>
      </c>
      <c r="AH12" s="22">
        <f>'C.Grade'!AM427</f>
        <v>0</v>
      </c>
      <c r="AI12" s="22"/>
      <c r="AJ12" s="22"/>
      <c r="AK12" s="22">
        <f>'C.Grade'!AN427</f>
        <v>0</v>
      </c>
      <c r="AL12" s="123">
        <f>SUM(D12:AK12)</f>
        <v>21</v>
      </c>
    </row>
    <row r="13" spans="2:38">
      <c r="B13" s="619"/>
      <c r="C13" s="21" t="s">
        <v>9</v>
      </c>
      <c r="D13" s="23">
        <f>SUM(D10:D12)</f>
        <v>0</v>
      </c>
      <c r="E13" s="23">
        <f t="shared" ref="E13:AE13" si="2">SUM(E10:E12)</f>
        <v>0</v>
      </c>
      <c r="F13" s="23">
        <f>SUM(F10:F12)</f>
        <v>0.5</v>
      </c>
      <c r="G13" s="23">
        <f t="shared" si="2"/>
        <v>0</v>
      </c>
      <c r="H13" s="23">
        <f t="shared" si="2"/>
        <v>0</v>
      </c>
      <c r="I13" s="23">
        <f t="shared" si="2"/>
        <v>0</v>
      </c>
      <c r="J13" s="23">
        <f t="shared" si="2"/>
        <v>11</v>
      </c>
      <c r="K13" s="23">
        <f t="shared" si="2"/>
        <v>2</v>
      </c>
      <c r="L13" s="23">
        <f t="shared" si="2"/>
        <v>0</v>
      </c>
      <c r="M13" s="23">
        <f t="shared" si="2"/>
        <v>0</v>
      </c>
      <c r="N13" s="23">
        <f t="shared" si="2"/>
        <v>3</v>
      </c>
      <c r="O13" s="23">
        <f t="shared" si="2"/>
        <v>0</v>
      </c>
      <c r="P13" s="23"/>
      <c r="Q13" s="23">
        <f t="shared" si="2"/>
        <v>0</v>
      </c>
      <c r="R13" s="23"/>
      <c r="S13" s="23">
        <f t="shared" si="2"/>
        <v>0</v>
      </c>
      <c r="T13" s="23">
        <f t="shared" si="2"/>
        <v>0</v>
      </c>
      <c r="U13" s="23">
        <f t="shared" si="2"/>
        <v>0</v>
      </c>
      <c r="V13" s="23">
        <f t="shared" si="2"/>
        <v>0</v>
      </c>
      <c r="W13" s="23">
        <f>SUM(W10:W12)</f>
        <v>3.5</v>
      </c>
      <c r="X13" s="23">
        <f t="shared" si="2"/>
        <v>0</v>
      </c>
      <c r="Y13" s="23">
        <f t="shared" si="2"/>
        <v>0</v>
      </c>
      <c r="Z13" s="23">
        <f t="shared" si="2"/>
        <v>0</v>
      </c>
      <c r="AA13" s="23">
        <f>SUM(AA10:AA12)</f>
        <v>0</v>
      </c>
      <c r="AB13" s="23">
        <f t="shared" si="2"/>
        <v>0</v>
      </c>
      <c r="AC13" s="23">
        <f>SUM(AC10:AC12)</f>
        <v>0</v>
      </c>
      <c r="AD13" s="23">
        <f>SUM(AD10:AD12)</f>
        <v>0</v>
      </c>
      <c r="AE13" s="23">
        <f t="shared" si="2"/>
        <v>0</v>
      </c>
      <c r="AF13" s="23">
        <f t="shared" ref="AF13:AL13" si="3">SUM(AF10:AF12)</f>
        <v>0</v>
      </c>
      <c r="AG13" s="23">
        <f t="shared" si="3"/>
        <v>0</v>
      </c>
      <c r="AH13" s="23">
        <f t="shared" si="3"/>
        <v>0</v>
      </c>
      <c r="AI13" s="23">
        <f t="shared" si="3"/>
        <v>0</v>
      </c>
      <c r="AJ13" s="23">
        <f t="shared" si="3"/>
        <v>0</v>
      </c>
      <c r="AK13" s="23">
        <f t="shared" si="3"/>
        <v>0</v>
      </c>
      <c r="AL13" s="124">
        <f t="shared" si="3"/>
        <v>21</v>
      </c>
    </row>
    <row r="14" spans="2:38" ht="15" thickBot="1">
      <c r="B14" s="619"/>
      <c r="C14" s="117" t="s">
        <v>9</v>
      </c>
      <c r="D14" s="118">
        <f>D13</f>
        <v>0</v>
      </c>
      <c r="E14" s="621">
        <f>+E13+F13</f>
        <v>0.5</v>
      </c>
      <c r="F14" s="622"/>
      <c r="G14" s="118">
        <f>G13</f>
        <v>0</v>
      </c>
      <c r="H14" s="118">
        <f>H13</f>
        <v>0</v>
      </c>
      <c r="I14" s="118">
        <f>I13</f>
        <v>0</v>
      </c>
      <c r="J14" s="118">
        <f>J13</f>
        <v>11</v>
      </c>
      <c r="K14" s="118">
        <f>K13</f>
        <v>2</v>
      </c>
      <c r="L14" s="624">
        <f>+L13+M13+N13+O13+Q13+S13+T13</f>
        <v>3</v>
      </c>
      <c r="M14" s="625"/>
      <c r="N14" s="625"/>
      <c r="O14" s="625"/>
      <c r="P14" s="625"/>
      <c r="Q14" s="625"/>
      <c r="R14" s="625"/>
      <c r="S14" s="625"/>
      <c r="T14" s="626"/>
      <c r="U14" s="624">
        <f>+U13+V13+W13</f>
        <v>3.5</v>
      </c>
      <c r="V14" s="625"/>
      <c r="W14" s="626"/>
      <c r="X14" s="118">
        <f>X13</f>
        <v>0</v>
      </c>
      <c r="Y14" s="118">
        <f>Y13</f>
        <v>0</v>
      </c>
      <c r="Z14" s="118">
        <f>Z13</f>
        <v>0</v>
      </c>
      <c r="AA14" s="624">
        <f>+AA13+AB13+AC13</f>
        <v>0</v>
      </c>
      <c r="AB14" s="625"/>
      <c r="AC14" s="626"/>
      <c r="AD14" s="118">
        <f t="shared" ref="AD14:AL14" si="4">AD13</f>
        <v>0</v>
      </c>
      <c r="AE14" s="118">
        <f t="shared" si="4"/>
        <v>0</v>
      </c>
      <c r="AF14" s="118">
        <f t="shared" si="4"/>
        <v>0</v>
      </c>
      <c r="AG14" s="118">
        <f t="shared" si="4"/>
        <v>0</v>
      </c>
      <c r="AH14" s="118">
        <f t="shared" si="4"/>
        <v>0</v>
      </c>
      <c r="AI14" s="118">
        <f>AI13</f>
        <v>0</v>
      </c>
      <c r="AJ14" s="118">
        <f>AJ13</f>
        <v>0</v>
      </c>
      <c r="AK14" s="118">
        <f t="shared" si="4"/>
        <v>0</v>
      </c>
      <c r="AL14" s="129">
        <f t="shared" si="4"/>
        <v>21</v>
      </c>
    </row>
    <row r="15" spans="2:38" s="20" customFormat="1" ht="15" thickTop="1">
      <c r="B15" s="618" t="s">
        <v>34</v>
      </c>
      <c r="C15" s="120" t="s">
        <v>42</v>
      </c>
      <c r="D15" s="121">
        <f>B.Grade!H164</f>
        <v>0</v>
      </c>
      <c r="E15" s="121">
        <f>B.Grade!I164</f>
        <v>0</v>
      </c>
      <c r="F15" s="121">
        <f>B.Grade!J164</f>
        <v>0</v>
      </c>
      <c r="G15" s="121">
        <f>B.Grade!K164</f>
        <v>0</v>
      </c>
      <c r="H15" s="121">
        <f>B.Grade!L164</f>
        <v>0</v>
      </c>
      <c r="I15" s="121">
        <f>B.Grade!N164</f>
        <v>0</v>
      </c>
      <c r="J15" s="121">
        <f>B.Grade!O164</f>
        <v>0</v>
      </c>
      <c r="K15" s="121">
        <f>B.Grade!P164</f>
        <v>0</v>
      </c>
      <c r="L15" s="121">
        <f>B.Grade!Q164</f>
        <v>0</v>
      </c>
      <c r="M15" s="121">
        <f>B.Grade!R164</f>
        <v>0</v>
      </c>
      <c r="N15" s="121">
        <f>B.Grade!S164</f>
        <v>0</v>
      </c>
      <c r="O15" s="121">
        <f>B.Grade!T164</f>
        <v>0</v>
      </c>
      <c r="P15" s="121"/>
      <c r="Q15" s="121">
        <f>B.Grade!V164</f>
        <v>0</v>
      </c>
      <c r="R15" s="121"/>
      <c r="S15" s="121"/>
      <c r="T15" s="121"/>
      <c r="U15" s="121">
        <f>B.Grade!W164</f>
        <v>0</v>
      </c>
      <c r="V15" s="121">
        <f>B.Grade!X164</f>
        <v>0</v>
      </c>
      <c r="W15" s="121">
        <f>B.Grade!Y164</f>
        <v>0</v>
      </c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>
        <f>B.Grade!Z164</f>
        <v>0</v>
      </c>
      <c r="AL15" s="122">
        <f>SUM(D15:AK15)</f>
        <v>0</v>
      </c>
    </row>
    <row r="16" spans="2:38" s="20" customFormat="1" ht="30" customHeight="1">
      <c r="B16" s="619"/>
      <c r="C16" s="34" t="s">
        <v>43</v>
      </c>
      <c r="D16" s="22">
        <f>DONATION!H348</f>
        <v>0</v>
      </c>
      <c r="E16" s="22">
        <f>DONATION!I348</f>
        <v>0</v>
      </c>
      <c r="F16" s="22">
        <f>DONATION!J348</f>
        <v>0</v>
      </c>
      <c r="G16" s="22">
        <f>DONATION!K348</f>
        <v>0</v>
      </c>
      <c r="H16" s="22">
        <f>DONATION!L348</f>
        <v>0</v>
      </c>
      <c r="I16" s="22">
        <f>DONATION!M348</f>
        <v>0</v>
      </c>
      <c r="J16" s="22">
        <f>DONATION!N348</f>
        <v>0</v>
      </c>
      <c r="K16" s="22">
        <f>DONATION!O348</f>
        <v>0</v>
      </c>
      <c r="L16" s="22">
        <f>DONATION!P348</f>
        <v>0</v>
      </c>
      <c r="M16" s="22">
        <f>DONATION!Q348</f>
        <v>0</v>
      </c>
      <c r="N16" s="22">
        <f>DONATION!R348</f>
        <v>0</v>
      </c>
      <c r="O16" s="22">
        <f>DONATION!S348</f>
        <v>0</v>
      </c>
      <c r="P16" s="22"/>
      <c r="Q16" s="22">
        <f>DONATION!T348</f>
        <v>0</v>
      </c>
      <c r="R16" s="22">
        <f>DONATION!V348</f>
        <v>0</v>
      </c>
      <c r="S16" s="22">
        <f>DONATION!W348</f>
        <v>0</v>
      </c>
      <c r="T16" s="22">
        <f>DONATION!X348</f>
        <v>0</v>
      </c>
      <c r="U16" s="22">
        <f>DONATION!Y348</f>
        <v>0</v>
      </c>
      <c r="V16" s="22">
        <f>DONATION!Z348</f>
        <v>0</v>
      </c>
      <c r="W16" s="22">
        <f>DONATION!AA348</f>
        <v>0</v>
      </c>
      <c r="X16" s="22">
        <f>DONATION!AB348</f>
        <v>0</v>
      </c>
      <c r="Y16" s="22">
        <f>DONATION!AC348</f>
        <v>0</v>
      </c>
      <c r="Z16" s="22">
        <f>DONATION!AB348</f>
        <v>0</v>
      </c>
      <c r="AA16" s="22">
        <f>DONATION!AC348</f>
        <v>0</v>
      </c>
      <c r="AB16" s="22">
        <f>DONATION!AD348</f>
        <v>0</v>
      </c>
      <c r="AC16" s="22">
        <f>DONATION!AE348</f>
        <v>0</v>
      </c>
      <c r="AD16" s="22">
        <f>DONATION!AF348</f>
        <v>0</v>
      </c>
      <c r="AE16" s="22"/>
      <c r="AF16" s="22"/>
      <c r="AG16" s="22"/>
      <c r="AH16" s="22"/>
      <c r="AI16" s="22">
        <f>DONATION!AG348</f>
        <v>0</v>
      </c>
      <c r="AJ16" s="22">
        <f>DONATION!AH348</f>
        <v>0</v>
      </c>
      <c r="AK16" s="22">
        <f>DONATION!AI348</f>
        <v>0</v>
      </c>
      <c r="AL16" s="123">
        <f>SUM(D16:AK16)</f>
        <v>0</v>
      </c>
    </row>
    <row r="17" spans="2:38" s="20" customFormat="1" ht="30" customHeight="1">
      <c r="B17" s="619"/>
      <c r="C17" s="34" t="s">
        <v>23</v>
      </c>
      <c r="D17" s="22">
        <f>'C.Grade'!I644</f>
        <v>0</v>
      </c>
      <c r="E17" s="22">
        <f>'C.Grade'!J644</f>
        <v>0</v>
      </c>
      <c r="F17" s="22">
        <f>'C.Grade'!K644</f>
        <v>0</v>
      </c>
      <c r="G17" s="22">
        <f>'C.Grade'!L644</f>
        <v>0</v>
      </c>
      <c r="H17" s="22">
        <f>'C.Grade'!M644</f>
        <v>0</v>
      </c>
      <c r="I17" s="22">
        <f>'C.Grade'!N644</f>
        <v>0</v>
      </c>
      <c r="J17" s="22">
        <f>'C.Grade'!O644</f>
        <v>0</v>
      </c>
      <c r="K17" s="22">
        <f>'C.Grade'!P644</f>
        <v>0</v>
      </c>
      <c r="L17" s="22">
        <f>'C.Grade'!Q644</f>
        <v>0</v>
      </c>
      <c r="M17" s="22">
        <f>'C.Grade'!R644</f>
        <v>0</v>
      </c>
      <c r="N17" s="22">
        <f>'C.Grade'!S644</f>
        <v>0</v>
      </c>
      <c r="O17" s="22">
        <f>'C.Grade'!T644</f>
        <v>0</v>
      </c>
      <c r="P17" s="22">
        <f>'C.Grade'!U644</f>
        <v>0</v>
      </c>
      <c r="Q17" s="22">
        <f>'C.Grade'!V644</f>
        <v>0</v>
      </c>
      <c r="R17" s="22">
        <f>'C.Grade'!W644</f>
        <v>0</v>
      </c>
      <c r="S17" s="22">
        <f>'C.Grade'!X644</f>
        <v>0</v>
      </c>
      <c r="T17" s="22">
        <f>'C.Grade'!Y644</f>
        <v>0</v>
      </c>
      <c r="U17" s="22">
        <f>'C.Grade'!Z644</f>
        <v>0</v>
      </c>
      <c r="V17" s="22">
        <f>'C.Grade'!AA644</f>
        <v>0</v>
      </c>
      <c r="W17" s="22">
        <f>'C.Grade'!AB644</f>
        <v>0</v>
      </c>
      <c r="X17" s="22">
        <f>'C.Grade'!AC644</f>
        <v>0</v>
      </c>
      <c r="Y17" s="22">
        <f>'C.Grade'!AD644</f>
        <v>0</v>
      </c>
      <c r="Z17" s="22">
        <f>'C.Grade'!AE644</f>
        <v>0</v>
      </c>
      <c r="AA17" s="22">
        <f>'C.Grade'!AF644</f>
        <v>0</v>
      </c>
      <c r="AB17" s="22">
        <f>'C.Grade'!AG644</f>
        <v>0</v>
      </c>
      <c r="AC17" s="22">
        <f>'C.Grade'!AH644</f>
        <v>0</v>
      </c>
      <c r="AD17" s="22">
        <f>'C.Grade'!AI644</f>
        <v>0</v>
      </c>
      <c r="AE17" s="22">
        <f>'C.Grade'!AJ644</f>
        <v>0</v>
      </c>
      <c r="AF17" s="22">
        <f>'C.Grade'!AK644</f>
        <v>0</v>
      </c>
      <c r="AG17" s="22">
        <f>'C.Grade'!AL644</f>
        <v>0</v>
      </c>
      <c r="AH17" s="22">
        <f>'C.Grade'!AM644</f>
        <v>0</v>
      </c>
      <c r="AI17" s="22"/>
      <c r="AJ17" s="22"/>
      <c r="AK17" s="22">
        <f>'C.Grade'!AN644</f>
        <v>0</v>
      </c>
      <c r="AL17" s="123">
        <f>SUM(D17:AK17)</f>
        <v>0</v>
      </c>
    </row>
    <row r="18" spans="2:38" ht="28.5" customHeight="1">
      <c r="B18" s="619"/>
      <c r="C18" s="21" t="s">
        <v>9</v>
      </c>
      <c r="D18" s="23">
        <f>SUM(D15:D17)</f>
        <v>0</v>
      </c>
      <c r="E18" s="23">
        <f>SUM(E15:E17)</f>
        <v>0</v>
      </c>
      <c r="F18" s="23">
        <f>SUM(F15:F17)</f>
        <v>0</v>
      </c>
      <c r="G18" s="23">
        <f>SUM(G15:G17)</f>
        <v>0</v>
      </c>
      <c r="H18" s="23">
        <f t="shared" ref="H18:AH18" si="5">SUM(H15:H17)</f>
        <v>0</v>
      </c>
      <c r="I18" s="23">
        <f t="shared" si="5"/>
        <v>0</v>
      </c>
      <c r="J18" s="23">
        <f t="shared" si="5"/>
        <v>0</v>
      </c>
      <c r="K18" s="23">
        <f>SUM(K15:K17)</f>
        <v>0</v>
      </c>
      <c r="L18" s="23">
        <f t="shared" si="5"/>
        <v>0</v>
      </c>
      <c r="M18" s="23">
        <f t="shared" si="5"/>
        <v>0</v>
      </c>
      <c r="N18" s="23">
        <f t="shared" si="5"/>
        <v>0</v>
      </c>
      <c r="O18" s="23">
        <f t="shared" si="5"/>
        <v>0</v>
      </c>
      <c r="P18" s="23">
        <f t="shared" si="5"/>
        <v>0</v>
      </c>
      <c r="Q18" s="23">
        <f t="shared" si="5"/>
        <v>0</v>
      </c>
      <c r="R18" s="23"/>
      <c r="S18" s="23">
        <f t="shared" si="5"/>
        <v>0</v>
      </c>
      <c r="T18" s="23">
        <f t="shared" si="5"/>
        <v>0</v>
      </c>
      <c r="U18" s="23">
        <f t="shared" si="5"/>
        <v>0</v>
      </c>
      <c r="V18" s="23">
        <f t="shared" si="5"/>
        <v>0</v>
      </c>
      <c r="W18" s="23">
        <f>SUM(W15:W17)</f>
        <v>0</v>
      </c>
      <c r="X18" s="23">
        <f t="shared" si="5"/>
        <v>0</v>
      </c>
      <c r="Y18" s="23">
        <f t="shared" si="5"/>
        <v>0</v>
      </c>
      <c r="Z18" s="23">
        <f t="shared" si="5"/>
        <v>0</v>
      </c>
      <c r="AA18" s="23">
        <f t="shared" si="5"/>
        <v>0</v>
      </c>
      <c r="AB18" s="23">
        <f t="shared" si="5"/>
        <v>0</v>
      </c>
      <c r="AC18" s="23">
        <f t="shared" si="5"/>
        <v>0</v>
      </c>
      <c r="AD18" s="23">
        <f t="shared" si="5"/>
        <v>0</v>
      </c>
      <c r="AE18" s="23">
        <f t="shared" si="5"/>
        <v>0</v>
      </c>
      <c r="AF18" s="23">
        <f t="shared" si="5"/>
        <v>0</v>
      </c>
      <c r="AG18" s="23">
        <f t="shared" si="5"/>
        <v>0</v>
      </c>
      <c r="AH18" s="23">
        <f t="shared" si="5"/>
        <v>0</v>
      </c>
      <c r="AI18" s="23">
        <f>SUM(AI15:AI17)</f>
        <v>0</v>
      </c>
      <c r="AJ18" s="23">
        <f>SUM(AJ15:AJ17)</f>
        <v>0</v>
      </c>
      <c r="AK18" s="23">
        <f>SUM(AK15:AK17)</f>
        <v>0</v>
      </c>
      <c r="AL18" s="124">
        <f>SUM(AL15:AL17)</f>
        <v>0</v>
      </c>
    </row>
    <row r="19" spans="2:38" ht="28.5" customHeight="1" thickBot="1">
      <c r="B19" s="620"/>
      <c r="C19" s="125" t="s">
        <v>9</v>
      </c>
      <c r="D19" s="126">
        <f>D18</f>
        <v>0</v>
      </c>
      <c r="E19" s="621">
        <f>+E18+F18</f>
        <v>0</v>
      </c>
      <c r="F19" s="622"/>
      <c r="G19" s="126">
        <f>G18</f>
        <v>0</v>
      </c>
      <c r="H19" s="126">
        <f>H18</f>
        <v>0</v>
      </c>
      <c r="I19" s="126">
        <f>I18</f>
        <v>0</v>
      </c>
      <c r="J19" s="126">
        <f>J18</f>
        <v>0</v>
      </c>
      <c r="K19" s="126">
        <f>K18</f>
        <v>0</v>
      </c>
      <c r="L19" s="621">
        <f>+L18+M18+N18+O18+Q18+S18+T18</f>
        <v>0</v>
      </c>
      <c r="M19" s="623"/>
      <c r="N19" s="623"/>
      <c r="O19" s="623"/>
      <c r="P19" s="623"/>
      <c r="Q19" s="623"/>
      <c r="R19" s="623"/>
      <c r="S19" s="623"/>
      <c r="T19" s="622"/>
      <c r="U19" s="621">
        <f>+U18+V18+W18</f>
        <v>0</v>
      </c>
      <c r="V19" s="623"/>
      <c r="W19" s="622"/>
      <c r="X19" s="126">
        <f>X18</f>
        <v>0</v>
      </c>
      <c r="Y19" s="126">
        <f>Y18</f>
        <v>0</v>
      </c>
      <c r="Z19" s="126">
        <f>Z18</f>
        <v>0</v>
      </c>
      <c r="AA19" s="621">
        <f>+AA18+AB18+AC18</f>
        <v>0</v>
      </c>
      <c r="AB19" s="623"/>
      <c r="AC19" s="622"/>
      <c r="AD19" s="126">
        <f t="shared" ref="AD19:AL19" si="6">AD18</f>
        <v>0</v>
      </c>
      <c r="AE19" s="126">
        <f t="shared" si="6"/>
        <v>0</v>
      </c>
      <c r="AF19" s="126">
        <f t="shared" si="6"/>
        <v>0</v>
      </c>
      <c r="AG19" s="126">
        <f t="shared" si="6"/>
        <v>0</v>
      </c>
      <c r="AH19" s="126">
        <f t="shared" si="6"/>
        <v>0</v>
      </c>
      <c r="AI19" s="126">
        <f>AI18</f>
        <v>0</v>
      </c>
      <c r="AJ19" s="126">
        <f>AJ18</f>
        <v>0</v>
      </c>
      <c r="AK19" s="126">
        <f t="shared" si="6"/>
        <v>0</v>
      </c>
      <c r="AL19" s="127">
        <f t="shared" si="6"/>
        <v>0</v>
      </c>
    </row>
    <row r="20" spans="2:38" s="20" customFormat="1" ht="30" customHeight="1" thickTop="1">
      <c r="B20" s="618" t="s">
        <v>35</v>
      </c>
      <c r="C20" s="52" t="s">
        <v>42</v>
      </c>
      <c r="D20" s="119">
        <f>B.Grade!H201</f>
        <v>0</v>
      </c>
      <c r="E20" s="119">
        <f>B.Grade!I201</f>
        <v>0</v>
      </c>
      <c r="F20" s="119">
        <f>B.Grade!J201</f>
        <v>0</v>
      </c>
      <c r="G20" s="119">
        <f>B.Grade!K201</f>
        <v>0</v>
      </c>
      <c r="H20" s="119"/>
      <c r="I20" s="119">
        <f>B.Grade!N201</f>
        <v>0</v>
      </c>
      <c r="J20" s="119">
        <f>B.Grade!O201</f>
        <v>0</v>
      </c>
      <c r="K20" s="119">
        <f>B.Grade!P201</f>
        <v>0</v>
      </c>
      <c r="L20" s="119">
        <f>B.Grade!Q201</f>
        <v>0</v>
      </c>
      <c r="M20" s="119">
        <f>B.Grade!R201</f>
        <v>0</v>
      </c>
      <c r="N20" s="119">
        <f>B.Grade!S201</f>
        <v>0</v>
      </c>
      <c r="O20" s="119">
        <f>B.Grade!T201</f>
        <v>0</v>
      </c>
      <c r="P20" s="119">
        <f>B.Grade!U201</f>
        <v>0</v>
      </c>
      <c r="Q20" s="119">
        <f>B.Grade!V201</f>
        <v>0</v>
      </c>
      <c r="R20" s="119"/>
      <c r="S20" s="119"/>
      <c r="T20" s="119"/>
      <c r="U20" s="119">
        <f>B.Grade!W201</f>
        <v>0</v>
      </c>
      <c r="V20" s="119">
        <f>B.Grade!X201</f>
        <v>0</v>
      </c>
      <c r="W20" s="119">
        <f>B.Grade!Y201</f>
        <v>0</v>
      </c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>
        <f>B.Grade!L201</f>
        <v>0</v>
      </c>
      <c r="AJ20" s="119"/>
      <c r="AK20" s="119">
        <f>B.Grade!Z201</f>
        <v>0</v>
      </c>
      <c r="AL20" s="128">
        <f>SUM(D20:AK20)</f>
        <v>0</v>
      </c>
    </row>
    <row r="21" spans="2:38" s="20" customFormat="1" ht="30" customHeight="1">
      <c r="B21" s="619"/>
      <c r="C21" s="34" t="s">
        <v>43</v>
      </c>
      <c r="D21" s="22">
        <f>DONATION!H361</f>
        <v>0</v>
      </c>
      <c r="E21" s="22">
        <f>DONATION!I361</f>
        <v>0</v>
      </c>
      <c r="F21" s="22">
        <f>DONATION!J361</f>
        <v>0</v>
      </c>
      <c r="G21" s="22">
        <f>DONATION!K361</f>
        <v>0</v>
      </c>
      <c r="H21" s="22">
        <f>DONATION!L361</f>
        <v>0</v>
      </c>
      <c r="I21" s="22">
        <f>DONATION!M361</f>
        <v>0</v>
      </c>
      <c r="J21" s="22">
        <f>DONATION!N361</f>
        <v>0</v>
      </c>
      <c r="K21" s="22">
        <f>DONATION!O361</f>
        <v>0</v>
      </c>
      <c r="L21" s="22">
        <f>DONATION!P361</f>
        <v>0</v>
      </c>
      <c r="M21" s="22">
        <f>DONATION!Q361</f>
        <v>0</v>
      </c>
      <c r="N21" s="22">
        <f>DONATION!R361</f>
        <v>0</v>
      </c>
      <c r="O21" s="22">
        <f>DONATION!S361</f>
        <v>0</v>
      </c>
      <c r="P21" s="22">
        <f>DONATION!T361</f>
        <v>0</v>
      </c>
      <c r="Q21" s="22">
        <f>DONATION!U361</f>
        <v>0</v>
      </c>
      <c r="R21" s="22"/>
      <c r="S21" s="22">
        <f>DONATION!W361</f>
        <v>0</v>
      </c>
      <c r="T21" s="22">
        <f>DONATION!X361</f>
        <v>0</v>
      </c>
      <c r="U21" s="22">
        <f>DONATION!Y361</f>
        <v>0</v>
      </c>
      <c r="V21" s="22">
        <f>DONATION!Z361</f>
        <v>0</v>
      </c>
      <c r="W21" s="22">
        <f>DONATION!AA361</f>
        <v>0</v>
      </c>
      <c r="X21" s="22">
        <f>DONATION!AB361</f>
        <v>0</v>
      </c>
      <c r="Y21" s="22">
        <f>DONATION!AC361</f>
        <v>0</v>
      </c>
      <c r="Z21" s="22">
        <f>DONATION!AD361</f>
        <v>0</v>
      </c>
      <c r="AA21" s="22">
        <f>DONATION!AE361</f>
        <v>0</v>
      </c>
      <c r="AB21" s="22">
        <f>DONATION!AF361</f>
        <v>0</v>
      </c>
      <c r="AC21" s="22">
        <f>DONATION!AI361</f>
        <v>0</v>
      </c>
      <c r="AD21" s="22">
        <f>DONATION!AJ361</f>
        <v>0</v>
      </c>
      <c r="AE21" s="22"/>
      <c r="AF21" s="22"/>
      <c r="AG21" s="22"/>
      <c r="AH21" s="22"/>
      <c r="AI21" s="22">
        <f>DONATION!AG361</f>
        <v>0</v>
      </c>
      <c r="AJ21" s="22">
        <f>DONATION!AH361</f>
        <v>0</v>
      </c>
      <c r="AK21" s="22">
        <f>DONATION!AI361</f>
        <v>0</v>
      </c>
      <c r="AL21" s="123">
        <f>SUM(D21:AK21)</f>
        <v>0</v>
      </c>
    </row>
    <row r="22" spans="2:38" s="20" customFormat="1" ht="30" customHeight="1">
      <c r="B22" s="619"/>
      <c r="C22" s="34" t="s">
        <v>23</v>
      </c>
      <c r="D22" s="22">
        <f>'C.Grade'!I915</f>
        <v>0</v>
      </c>
      <c r="E22" s="22">
        <f>'C.Grade'!J915</f>
        <v>0</v>
      </c>
      <c r="F22" s="22">
        <f>'C.Grade'!K915</f>
        <v>0</v>
      </c>
      <c r="G22" s="22">
        <f>'C.Grade'!L915</f>
        <v>0</v>
      </c>
      <c r="H22" s="22">
        <f>'C.Grade'!M915</f>
        <v>0</v>
      </c>
      <c r="I22" s="22">
        <f>'C.Grade'!N915</f>
        <v>0</v>
      </c>
      <c r="J22" s="22">
        <f>'C.Grade'!O915</f>
        <v>0</v>
      </c>
      <c r="K22" s="22">
        <f>'C.Grade'!P915</f>
        <v>0</v>
      </c>
      <c r="L22" s="22">
        <f>'C.Grade'!Q915</f>
        <v>0</v>
      </c>
      <c r="M22" s="22">
        <f>'C.Grade'!R915</f>
        <v>0</v>
      </c>
      <c r="N22" s="22">
        <f>'C.Grade'!S915</f>
        <v>0</v>
      </c>
      <c r="O22" s="22">
        <f>'C.Grade'!T915</f>
        <v>0</v>
      </c>
      <c r="P22" s="22">
        <f>'C.Grade'!U915</f>
        <v>0</v>
      </c>
      <c r="Q22" s="22">
        <f>'C.Grade'!V915</f>
        <v>0</v>
      </c>
      <c r="R22" s="22">
        <f>'C.Grade'!W915</f>
        <v>0</v>
      </c>
      <c r="S22" s="22">
        <f>'C.Grade'!X915</f>
        <v>0</v>
      </c>
      <c r="T22" s="22">
        <f>'C.Grade'!Y915</f>
        <v>0</v>
      </c>
      <c r="U22" s="22">
        <f>'C.Grade'!Z915</f>
        <v>0</v>
      </c>
      <c r="V22" s="22">
        <f>'C.Grade'!AA915</f>
        <v>0</v>
      </c>
      <c r="W22" s="22">
        <f>'C.Grade'!AB915</f>
        <v>0</v>
      </c>
      <c r="X22" s="22">
        <f>'C.Grade'!AC915</f>
        <v>0</v>
      </c>
      <c r="Y22" s="22">
        <f>'C.Grade'!AD915</f>
        <v>0</v>
      </c>
      <c r="Z22" s="22">
        <f>'C.Grade'!AE915</f>
        <v>0</v>
      </c>
      <c r="AA22" s="22">
        <f>'C.Grade'!AF915</f>
        <v>0</v>
      </c>
      <c r="AB22" s="22">
        <f>'C.Grade'!AG915</f>
        <v>0</v>
      </c>
      <c r="AC22" s="22">
        <f>'C.Grade'!AH915</f>
        <v>0</v>
      </c>
      <c r="AD22" s="22">
        <f>'C.Grade'!AI915</f>
        <v>0</v>
      </c>
      <c r="AE22" s="22">
        <f>'C.Grade'!AJ915</f>
        <v>0</v>
      </c>
      <c r="AF22" s="22">
        <f>'C.Grade'!AK915</f>
        <v>0</v>
      </c>
      <c r="AG22" s="22">
        <f>'C.Grade'!AL915</f>
        <v>0</v>
      </c>
      <c r="AH22" s="22">
        <f>'C.Grade'!AM915</f>
        <v>0</v>
      </c>
      <c r="AI22" s="22"/>
      <c r="AJ22" s="22"/>
      <c r="AK22" s="22">
        <f>'C.Grade'!AN915</f>
        <v>0</v>
      </c>
      <c r="AL22" s="123">
        <f>SUM(D22:AK22)</f>
        <v>0</v>
      </c>
    </row>
    <row r="23" spans="2:38" ht="28.5" customHeight="1">
      <c r="B23" s="619"/>
      <c r="C23" s="21" t="s">
        <v>9</v>
      </c>
      <c r="D23" s="23">
        <f>SUM(D20:D22)</f>
        <v>0</v>
      </c>
      <c r="E23" s="23">
        <f>SUM(E20:E22)</f>
        <v>0</v>
      </c>
      <c r="F23" s="23">
        <f>SUM(F20:F22)</f>
        <v>0</v>
      </c>
      <c r="G23" s="23">
        <f t="shared" ref="G23:AF23" si="7">SUM(G20:G22)</f>
        <v>0</v>
      </c>
      <c r="H23" s="23">
        <f t="shared" si="7"/>
        <v>0</v>
      </c>
      <c r="I23" s="23">
        <f t="shared" si="7"/>
        <v>0</v>
      </c>
      <c r="J23" s="23">
        <f t="shared" si="7"/>
        <v>0</v>
      </c>
      <c r="K23" s="23">
        <f t="shared" si="7"/>
        <v>0</v>
      </c>
      <c r="L23" s="23">
        <f t="shared" si="7"/>
        <v>0</v>
      </c>
      <c r="M23" s="23">
        <f t="shared" si="7"/>
        <v>0</v>
      </c>
      <c r="N23" s="23">
        <f t="shared" si="7"/>
        <v>0</v>
      </c>
      <c r="O23" s="23">
        <f t="shared" si="7"/>
        <v>0</v>
      </c>
      <c r="P23" s="23">
        <f>SUM(P20:P22)</f>
        <v>0</v>
      </c>
      <c r="Q23" s="23">
        <f t="shared" si="7"/>
        <v>0</v>
      </c>
      <c r="R23" s="23">
        <f>SUM(R20:R22)</f>
        <v>0</v>
      </c>
      <c r="S23" s="23">
        <f t="shared" si="7"/>
        <v>0</v>
      </c>
      <c r="T23" s="23">
        <f t="shared" si="7"/>
        <v>0</v>
      </c>
      <c r="U23" s="23">
        <f>SUM(U20:U22)</f>
        <v>0</v>
      </c>
      <c r="V23" s="23">
        <f t="shared" si="7"/>
        <v>0</v>
      </c>
      <c r="W23" s="23">
        <f t="shared" si="7"/>
        <v>0</v>
      </c>
      <c r="X23" s="23">
        <f t="shared" si="7"/>
        <v>0</v>
      </c>
      <c r="Y23" s="23">
        <f t="shared" si="7"/>
        <v>0</v>
      </c>
      <c r="Z23" s="23">
        <f t="shared" si="7"/>
        <v>0</v>
      </c>
      <c r="AA23" s="23">
        <f t="shared" si="7"/>
        <v>0</v>
      </c>
      <c r="AB23" s="23">
        <f t="shared" si="7"/>
        <v>0</v>
      </c>
      <c r="AC23" s="23">
        <f t="shared" si="7"/>
        <v>0</v>
      </c>
      <c r="AD23" s="23">
        <f t="shared" si="7"/>
        <v>0</v>
      </c>
      <c r="AE23" s="23">
        <f t="shared" si="7"/>
        <v>0</v>
      </c>
      <c r="AF23" s="23">
        <f t="shared" si="7"/>
        <v>0</v>
      </c>
      <c r="AG23" s="23">
        <f t="shared" ref="AG23:AL23" si="8">SUM(AG20:AG22)</f>
        <v>0</v>
      </c>
      <c r="AH23" s="23">
        <f t="shared" si="8"/>
        <v>0</v>
      </c>
      <c r="AI23" s="23">
        <f t="shared" si="8"/>
        <v>0</v>
      </c>
      <c r="AJ23" s="23">
        <f t="shared" si="8"/>
        <v>0</v>
      </c>
      <c r="AK23" s="23">
        <f t="shared" si="8"/>
        <v>0</v>
      </c>
      <c r="AL23" s="124">
        <f t="shared" si="8"/>
        <v>0</v>
      </c>
    </row>
    <row r="24" spans="2:38" ht="15" thickBot="1">
      <c r="B24" s="620"/>
      <c r="C24" s="117" t="s">
        <v>9</v>
      </c>
      <c r="D24" s="118">
        <f>D23</f>
        <v>0</v>
      </c>
      <c r="E24" s="621">
        <f>+E23+F23</f>
        <v>0</v>
      </c>
      <c r="F24" s="622"/>
      <c r="G24" s="118">
        <f>G23</f>
        <v>0</v>
      </c>
      <c r="H24" s="118">
        <f>H23</f>
        <v>0</v>
      </c>
      <c r="I24" s="118">
        <f>I23</f>
        <v>0</v>
      </c>
      <c r="J24" s="118">
        <f>J23</f>
        <v>0</v>
      </c>
      <c r="K24" s="118">
        <f>K23</f>
        <v>0</v>
      </c>
      <c r="L24" s="624">
        <f>+L23+M23+N23+O23+Q23+R23+S23+T23</f>
        <v>0</v>
      </c>
      <c r="M24" s="625"/>
      <c r="N24" s="625"/>
      <c r="O24" s="625"/>
      <c r="P24" s="625"/>
      <c r="Q24" s="625"/>
      <c r="R24" s="625"/>
      <c r="S24" s="625"/>
      <c r="T24" s="626"/>
      <c r="U24" s="624">
        <f>+U23+V23+W23</f>
        <v>0</v>
      </c>
      <c r="V24" s="625"/>
      <c r="W24" s="626"/>
      <c r="X24" s="118">
        <f>X23</f>
        <v>0</v>
      </c>
      <c r="Y24" s="118">
        <f>Y23</f>
        <v>0</v>
      </c>
      <c r="Z24" s="118">
        <f>Z23</f>
        <v>0</v>
      </c>
      <c r="AA24" s="624">
        <f>+AA23+AB23+AC23</f>
        <v>0</v>
      </c>
      <c r="AB24" s="625"/>
      <c r="AC24" s="626"/>
      <c r="AD24" s="118">
        <f>AD23</f>
        <v>0</v>
      </c>
      <c r="AE24" s="118">
        <f>AE23</f>
        <v>0</v>
      </c>
      <c r="AF24" s="118">
        <f>AF23</f>
        <v>0</v>
      </c>
      <c r="AG24" s="118">
        <f>AG23</f>
        <v>0</v>
      </c>
      <c r="AH24" s="118"/>
      <c r="AI24" s="118"/>
      <c r="AJ24" s="118"/>
      <c r="AK24" s="118">
        <f>AK23</f>
        <v>0</v>
      </c>
      <c r="AL24" s="129">
        <f>AL23</f>
        <v>0</v>
      </c>
    </row>
    <row r="25" spans="2:38" s="20" customFormat="1" ht="30" customHeight="1" thickTop="1">
      <c r="B25" s="618" t="s">
        <v>36</v>
      </c>
      <c r="C25" s="120" t="s">
        <v>42</v>
      </c>
      <c r="D25" s="121">
        <f>B.Grade!H234</f>
        <v>0</v>
      </c>
      <c r="E25" s="121">
        <f>B.Grade!I234</f>
        <v>0</v>
      </c>
      <c r="F25" s="121">
        <f>B.Grade!J234</f>
        <v>0</v>
      </c>
      <c r="G25" s="121">
        <f>B.Grade!K234</f>
        <v>0</v>
      </c>
      <c r="H25" s="121">
        <f>B.Grade!L234</f>
        <v>0</v>
      </c>
      <c r="I25" s="121">
        <f>B.Grade!N234</f>
        <v>0</v>
      </c>
      <c r="J25" s="121">
        <f>B.Grade!O234</f>
        <v>0</v>
      </c>
      <c r="K25" s="121">
        <f>B.Grade!P234</f>
        <v>0</v>
      </c>
      <c r="L25" s="121">
        <f>B.Grade!Q234</f>
        <v>0</v>
      </c>
      <c r="M25" s="121">
        <f>B.Grade!R234</f>
        <v>0</v>
      </c>
      <c r="N25" s="121">
        <f>B.Grade!S234</f>
        <v>0</v>
      </c>
      <c r="O25" s="121">
        <f>B.Grade!T234</f>
        <v>0</v>
      </c>
      <c r="P25" s="121">
        <f>B.Grade!U234</f>
        <v>0</v>
      </c>
      <c r="Q25" s="121">
        <f>B.Grade!V234</f>
        <v>0</v>
      </c>
      <c r="R25" s="121">
        <f>B.Grade!W234</f>
        <v>0</v>
      </c>
      <c r="S25" s="121">
        <f>B.Grade!X234</f>
        <v>0</v>
      </c>
      <c r="T25" s="121">
        <f>B.Grade!V234</f>
        <v>0</v>
      </c>
      <c r="U25" s="121">
        <f>B.Grade!W234</f>
        <v>0</v>
      </c>
      <c r="V25" s="121">
        <f>B.Grade!X234</f>
        <v>0</v>
      </c>
      <c r="W25" s="121">
        <f>B.Grade!Y234</f>
        <v>0</v>
      </c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>
        <f>B.Grade!Z234</f>
        <v>0</v>
      </c>
      <c r="AL25" s="122">
        <f>SUM(D25:AK25)</f>
        <v>0</v>
      </c>
    </row>
    <row r="26" spans="2:38" s="20" customFormat="1" ht="30" customHeight="1">
      <c r="B26" s="619"/>
      <c r="C26" s="34" t="s">
        <v>43</v>
      </c>
      <c r="D26" s="22">
        <f>DONATION!H406</f>
        <v>0</v>
      </c>
      <c r="E26" s="22">
        <f>DONATION!I406</f>
        <v>0</v>
      </c>
      <c r="F26" s="22">
        <f>DONATION!J406</f>
        <v>0</v>
      </c>
      <c r="G26" s="22">
        <f>DONATION!K406</f>
        <v>0</v>
      </c>
      <c r="H26" s="22">
        <f>DONATION!L406</f>
        <v>0</v>
      </c>
      <c r="I26" s="22">
        <f>DONATION!M406</f>
        <v>0</v>
      </c>
      <c r="J26" s="22">
        <f>DONATION!N406</f>
        <v>0</v>
      </c>
      <c r="K26" s="22">
        <f>DONATION!O406</f>
        <v>0</v>
      </c>
      <c r="L26" s="22">
        <f>DONATION!P406</f>
        <v>0</v>
      </c>
      <c r="M26" s="22">
        <f>DONATION!Q406</f>
        <v>0</v>
      </c>
      <c r="N26" s="22">
        <f>DONATION!R406</f>
        <v>0</v>
      </c>
      <c r="O26" s="22">
        <f>DONATION!S406</f>
        <v>0</v>
      </c>
      <c r="P26" s="22">
        <f>DONATION!T406</f>
        <v>0</v>
      </c>
      <c r="Q26" s="22">
        <f>DONATION!T406</f>
        <v>0</v>
      </c>
      <c r="R26" s="22">
        <f>DONATION!U406</f>
        <v>0</v>
      </c>
      <c r="S26" s="22">
        <f>DONATION!U406</f>
        <v>0</v>
      </c>
      <c r="T26" s="22">
        <f>DONATION!V406</f>
        <v>0</v>
      </c>
      <c r="U26" s="22">
        <f>DONATION!W406</f>
        <v>0</v>
      </c>
      <c r="V26" s="22">
        <f>DONATION!X406</f>
        <v>0</v>
      </c>
      <c r="W26" s="22">
        <f>DONATION!Y406</f>
        <v>0</v>
      </c>
      <c r="X26" s="22">
        <f>DONATION!Z406</f>
        <v>0</v>
      </c>
      <c r="Y26" s="22">
        <f>DONATION!AA406</f>
        <v>0</v>
      </c>
      <c r="Z26" s="22">
        <f>DONATION!AB406</f>
        <v>0</v>
      </c>
      <c r="AA26" s="22">
        <f>DONATION!AC406</f>
        <v>0</v>
      </c>
      <c r="AB26" s="22">
        <f>DONATION!AD406</f>
        <v>0</v>
      </c>
      <c r="AC26" s="22">
        <f>DONATION!AE406</f>
        <v>0</v>
      </c>
      <c r="AD26" s="22">
        <f>DONATION!AF406</f>
        <v>0</v>
      </c>
      <c r="AE26" s="22"/>
      <c r="AF26" s="22"/>
      <c r="AG26" s="22"/>
      <c r="AH26" s="22"/>
      <c r="AI26" s="22"/>
      <c r="AJ26" s="22"/>
      <c r="AK26" s="22">
        <f>DONATION!AI406</f>
        <v>0</v>
      </c>
      <c r="AL26" s="123">
        <f>SUM(D26:AK26)</f>
        <v>0</v>
      </c>
    </row>
    <row r="27" spans="2:38" s="20" customFormat="1" ht="30" customHeight="1">
      <c r="B27" s="619"/>
      <c r="C27" s="34" t="s">
        <v>23</v>
      </c>
      <c r="D27" s="22">
        <f>'C.Grade'!I1118</f>
        <v>0</v>
      </c>
      <c r="E27" s="22">
        <f>'C.Grade'!J1118</f>
        <v>0</v>
      </c>
      <c r="F27" s="22">
        <f>'C.Grade'!K1118</f>
        <v>0</v>
      </c>
      <c r="G27" s="22">
        <f>'C.Grade'!L1118</f>
        <v>0</v>
      </c>
      <c r="H27" s="22">
        <f>'C.Grade'!M1118</f>
        <v>0</v>
      </c>
      <c r="I27" s="22">
        <f>'C.Grade'!N1118</f>
        <v>0</v>
      </c>
      <c r="J27" s="22">
        <f>'C.Grade'!O1118</f>
        <v>0</v>
      </c>
      <c r="K27" s="22">
        <f>'C.Grade'!P1118</f>
        <v>0</v>
      </c>
      <c r="L27" s="22">
        <f>'C.Grade'!Q1118</f>
        <v>0</v>
      </c>
      <c r="M27" s="22">
        <f>'C.Grade'!R1118</f>
        <v>0</v>
      </c>
      <c r="N27" s="22">
        <f>'C.Grade'!S1118</f>
        <v>0</v>
      </c>
      <c r="O27" s="22">
        <f>'C.Grade'!T1118</f>
        <v>0</v>
      </c>
      <c r="P27" s="22">
        <f>'C.Grade'!U1118</f>
        <v>0</v>
      </c>
      <c r="Q27" s="22">
        <f>'C.Grade'!V1118</f>
        <v>0</v>
      </c>
      <c r="R27" s="22">
        <f>'C.Grade'!W1118</f>
        <v>0</v>
      </c>
      <c r="S27" s="22">
        <f>'C.Grade'!X1118</f>
        <v>0</v>
      </c>
      <c r="T27" s="22">
        <f>'C.Grade'!Y1118</f>
        <v>0</v>
      </c>
      <c r="U27" s="22">
        <f>'C.Grade'!Z1118</f>
        <v>0</v>
      </c>
      <c r="V27" s="22">
        <f>'C.Grade'!AA1118</f>
        <v>0</v>
      </c>
      <c r="W27" s="22">
        <f>'C.Grade'!AB1118</f>
        <v>0</v>
      </c>
      <c r="X27" s="22">
        <f>'C.Grade'!AC1118</f>
        <v>0</v>
      </c>
      <c r="Y27" s="22">
        <f>'C.Grade'!AD1118</f>
        <v>0</v>
      </c>
      <c r="Z27" s="22">
        <f>'C.Grade'!AE1118</f>
        <v>0</v>
      </c>
      <c r="AA27" s="22">
        <f>'C.Grade'!AF1118</f>
        <v>0</v>
      </c>
      <c r="AB27" s="22">
        <f>'C.Grade'!AG1118</f>
        <v>0</v>
      </c>
      <c r="AC27" s="22">
        <f>'C.Grade'!AH1118</f>
        <v>0</v>
      </c>
      <c r="AD27" s="22">
        <f>'C.Grade'!AI1118</f>
        <v>0</v>
      </c>
      <c r="AE27" s="22">
        <f>'C.Grade'!AJ1118</f>
        <v>0</v>
      </c>
      <c r="AF27" s="22">
        <f>'C.Grade'!AK1118</f>
        <v>0</v>
      </c>
      <c r="AG27" s="22">
        <f>'C.Grade'!AL1118</f>
        <v>0</v>
      </c>
      <c r="AH27" s="22">
        <f>'C.Grade'!AM1118</f>
        <v>0</v>
      </c>
      <c r="AI27" s="22">
        <f>'C.Grade'!AN1118</f>
        <v>0</v>
      </c>
      <c r="AJ27" s="22"/>
      <c r="AK27" s="22">
        <f>'C.Grade'!AN1118</f>
        <v>0</v>
      </c>
      <c r="AL27" s="123">
        <f>SUM(D27:AK27)</f>
        <v>0</v>
      </c>
    </row>
    <row r="28" spans="2:38" ht="28.5" customHeight="1">
      <c r="B28" s="619"/>
      <c r="C28" s="21" t="s">
        <v>9</v>
      </c>
      <c r="D28" s="23">
        <f>SUM(D25:D27)</f>
        <v>0</v>
      </c>
      <c r="E28" s="23">
        <f>SUM(E25:E27)</f>
        <v>0</v>
      </c>
      <c r="F28" s="23">
        <f>SUM(F25:F27)</f>
        <v>0</v>
      </c>
      <c r="G28" s="23">
        <f>SUM(G25:G27)</f>
        <v>0</v>
      </c>
      <c r="H28" s="23">
        <f t="shared" ref="H28:AC28" si="9">SUM(H25:H27)</f>
        <v>0</v>
      </c>
      <c r="I28" s="23">
        <f>SUM(I25:I27)</f>
        <v>0</v>
      </c>
      <c r="J28" s="23">
        <f>SUM(J25:J27)</f>
        <v>0</v>
      </c>
      <c r="K28" s="23">
        <f>SUM(K25:K27)</f>
        <v>0</v>
      </c>
      <c r="L28" s="23">
        <f>SUM(L25:L27)</f>
        <v>0</v>
      </c>
      <c r="M28" s="23">
        <f t="shared" si="9"/>
        <v>0</v>
      </c>
      <c r="N28" s="23">
        <f t="shared" si="9"/>
        <v>0</v>
      </c>
      <c r="O28" s="23">
        <f t="shared" si="9"/>
        <v>0</v>
      </c>
      <c r="P28" s="23">
        <f t="shared" si="9"/>
        <v>0</v>
      </c>
      <c r="Q28" s="23">
        <f t="shared" si="9"/>
        <v>0</v>
      </c>
      <c r="R28" s="23">
        <f t="shared" si="9"/>
        <v>0</v>
      </c>
      <c r="S28" s="23">
        <f t="shared" si="9"/>
        <v>0</v>
      </c>
      <c r="T28" s="23">
        <f t="shared" si="9"/>
        <v>0</v>
      </c>
      <c r="U28" s="23">
        <f>SUM(U25:U27)</f>
        <v>0</v>
      </c>
      <c r="V28" s="23">
        <f t="shared" si="9"/>
        <v>0</v>
      </c>
      <c r="W28" s="23">
        <f t="shared" si="9"/>
        <v>0</v>
      </c>
      <c r="X28" s="23">
        <f t="shared" si="9"/>
        <v>0</v>
      </c>
      <c r="Y28" s="23">
        <f t="shared" si="9"/>
        <v>0</v>
      </c>
      <c r="Z28" s="23">
        <f t="shared" si="9"/>
        <v>0</v>
      </c>
      <c r="AA28" s="23">
        <f t="shared" si="9"/>
        <v>0</v>
      </c>
      <c r="AB28" s="23">
        <f t="shared" si="9"/>
        <v>0</v>
      </c>
      <c r="AC28" s="23">
        <f t="shared" si="9"/>
        <v>0</v>
      </c>
      <c r="AD28" s="23">
        <f t="shared" ref="AD28:AL28" si="10">SUM(AD25:AD27)</f>
        <v>0</v>
      </c>
      <c r="AE28" s="23">
        <f t="shared" si="10"/>
        <v>0</v>
      </c>
      <c r="AF28" s="23">
        <f t="shared" si="10"/>
        <v>0</v>
      </c>
      <c r="AG28" s="23">
        <f t="shared" si="10"/>
        <v>0</v>
      </c>
      <c r="AH28" s="23">
        <f t="shared" si="10"/>
        <v>0</v>
      </c>
      <c r="AI28" s="23">
        <f t="shared" si="10"/>
        <v>0</v>
      </c>
      <c r="AJ28" s="23">
        <f t="shared" si="10"/>
        <v>0</v>
      </c>
      <c r="AK28" s="23">
        <f t="shared" si="10"/>
        <v>0</v>
      </c>
      <c r="AL28" s="124">
        <f t="shared" si="10"/>
        <v>0</v>
      </c>
    </row>
    <row r="29" spans="2:38" ht="28.5" customHeight="1" thickBot="1">
      <c r="B29" s="620"/>
      <c r="C29" s="125" t="s">
        <v>9</v>
      </c>
      <c r="D29" s="126">
        <f>D28</f>
        <v>0</v>
      </c>
      <c r="E29" s="621">
        <f>+E28+F28</f>
        <v>0</v>
      </c>
      <c r="F29" s="622"/>
      <c r="G29" s="126">
        <f>G28</f>
        <v>0</v>
      </c>
      <c r="H29" s="126">
        <f>H28</f>
        <v>0</v>
      </c>
      <c r="I29" s="126">
        <f>I28</f>
        <v>0</v>
      </c>
      <c r="J29" s="126">
        <f>J28</f>
        <v>0</v>
      </c>
      <c r="K29" s="126">
        <f>K28</f>
        <v>0</v>
      </c>
      <c r="L29" s="621">
        <f>+L28+M28+N28+O28+Q28+S28+T28</f>
        <v>0</v>
      </c>
      <c r="M29" s="623"/>
      <c r="N29" s="623"/>
      <c r="O29" s="623"/>
      <c r="P29" s="623"/>
      <c r="Q29" s="623"/>
      <c r="R29" s="623"/>
      <c r="S29" s="623"/>
      <c r="T29" s="622"/>
      <c r="U29" s="621">
        <f>+U28+V28+W28</f>
        <v>0</v>
      </c>
      <c r="V29" s="623"/>
      <c r="W29" s="622"/>
      <c r="X29" s="126">
        <f>X28</f>
        <v>0</v>
      </c>
      <c r="Y29" s="126">
        <f>Y28</f>
        <v>0</v>
      </c>
      <c r="Z29" s="126">
        <f>Z28</f>
        <v>0</v>
      </c>
      <c r="AA29" s="621">
        <f>+AA28+AB28+AC28</f>
        <v>0</v>
      </c>
      <c r="AB29" s="623"/>
      <c r="AC29" s="622"/>
      <c r="AD29" s="126">
        <f t="shared" ref="AD29:AL29" si="11">AD28</f>
        <v>0</v>
      </c>
      <c r="AE29" s="126">
        <f t="shared" si="11"/>
        <v>0</v>
      </c>
      <c r="AF29" s="126">
        <f t="shared" si="11"/>
        <v>0</v>
      </c>
      <c r="AG29" s="126">
        <f t="shared" si="11"/>
        <v>0</v>
      </c>
      <c r="AH29" s="126">
        <f t="shared" si="11"/>
        <v>0</v>
      </c>
      <c r="AI29" s="126">
        <f>AI28</f>
        <v>0</v>
      </c>
      <c r="AJ29" s="126">
        <f>AJ28</f>
        <v>0</v>
      </c>
      <c r="AK29" s="126">
        <f t="shared" si="11"/>
        <v>0</v>
      </c>
      <c r="AL29" s="127">
        <f t="shared" si="11"/>
        <v>0</v>
      </c>
    </row>
    <row r="30" spans="2:38" ht="36.75" customHeight="1" thickTop="1" thickBot="1">
      <c r="B30" s="616" t="s">
        <v>37</v>
      </c>
      <c r="C30" s="617"/>
      <c r="D30" s="132">
        <f>D8+D13+D18+D23+D28</f>
        <v>3.5</v>
      </c>
      <c r="E30" s="132">
        <f>E8+E13+E18+E23+E28</f>
        <v>0</v>
      </c>
      <c r="F30" s="132">
        <f>F8+F13+F18+F23+F28</f>
        <v>2</v>
      </c>
      <c r="G30" s="132">
        <f t="shared" ref="G30:AL30" si="12">G8+G13+G18+G23+G28</f>
        <v>0</v>
      </c>
      <c r="H30" s="132">
        <f t="shared" si="12"/>
        <v>1</v>
      </c>
      <c r="I30" s="132">
        <f t="shared" si="12"/>
        <v>0</v>
      </c>
      <c r="J30" s="132">
        <f t="shared" si="12"/>
        <v>11</v>
      </c>
      <c r="K30" s="132">
        <f>K8+K13+K18+K23+K28</f>
        <v>9.5</v>
      </c>
      <c r="L30" s="132">
        <f t="shared" si="12"/>
        <v>2.5</v>
      </c>
      <c r="M30" s="132">
        <f t="shared" si="12"/>
        <v>0</v>
      </c>
      <c r="N30" s="132">
        <f t="shared" si="12"/>
        <v>4</v>
      </c>
      <c r="O30" s="132">
        <f t="shared" si="12"/>
        <v>0</v>
      </c>
      <c r="P30" s="132"/>
      <c r="Q30" s="132">
        <f t="shared" si="12"/>
        <v>0</v>
      </c>
      <c r="R30" s="132"/>
      <c r="S30" s="132">
        <f t="shared" si="12"/>
        <v>0</v>
      </c>
      <c r="T30" s="132">
        <f t="shared" si="12"/>
        <v>0</v>
      </c>
      <c r="U30" s="132">
        <f t="shared" si="12"/>
        <v>0</v>
      </c>
      <c r="V30" s="132">
        <f t="shared" si="12"/>
        <v>0</v>
      </c>
      <c r="W30" s="132">
        <f t="shared" si="12"/>
        <v>5</v>
      </c>
      <c r="X30" s="132">
        <f t="shared" si="12"/>
        <v>16.5</v>
      </c>
      <c r="Y30" s="132">
        <f t="shared" si="12"/>
        <v>0</v>
      </c>
      <c r="Z30" s="132">
        <f t="shared" si="12"/>
        <v>0</v>
      </c>
      <c r="AA30" s="132">
        <f t="shared" si="12"/>
        <v>0</v>
      </c>
      <c r="AB30" s="132">
        <f t="shared" si="12"/>
        <v>0</v>
      </c>
      <c r="AC30" s="132">
        <f t="shared" si="12"/>
        <v>0</v>
      </c>
      <c r="AD30" s="132">
        <f t="shared" si="12"/>
        <v>0</v>
      </c>
      <c r="AE30" s="132">
        <f t="shared" si="12"/>
        <v>0</v>
      </c>
      <c r="AF30" s="132">
        <f t="shared" si="12"/>
        <v>0</v>
      </c>
      <c r="AG30" s="132">
        <f t="shared" si="12"/>
        <v>0</v>
      </c>
      <c r="AH30" s="132">
        <f t="shared" si="12"/>
        <v>0</v>
      </c>
      <c r="AI30" s="132">
        <f>AI8+AI13+AI18+AI23+AI28</f>
        <v>0</v>
      </c>
      <c r="AJ30" s="132">
        <f>AJ8+AJ13+AJ18+AJ23+AJ28</f>
        <v>0</v>
      </c>
      <c r="AK30" s="132">
        <f t="shared" si="12"/>
        <v>0</v>
      </c>
      <c r="AL30" s="133">
        <f t="shared" si="12"/>
        <v>57</v>
      </c>
    </row>
    <row r="31" spans="2:38" ht="36.75" customHeight="1" thickTop="1" thickBot="1">
      <c r="B31" s="627" t="s">
        <v>37</v>
      </c>
      <c r="C31" s="628"/>
      <c r="D31" s="130">
        <f>D30</f>
        <v>3.5</v>
      </c>
      <c r="E31" s="629">
        <f>+E30+F30</f>
        <v>2</v>
      </c>
      <c r="F31" s="631"/>
      <c r="G31" s="130">
        <f>G30</f>
        <v>0</v>
      </c>
      <c r="H31" s="130">
        <f>H30</f>
        <v>1</v>
      </c>
      <c r="I31" s="130">
        <f>I30</f>
        <v>0</v>
      </c>
      <c r="J31" s="130">
        <f>J30</f>
        <v>11</v>
      </c>
      <c r="K31" s="130">
        <f>K30</f>
        <v>9.5</v>
      </c>
      <c r="L31" s="629">
        <f>L30+M30+N30+O30+Q30+S30+T30</f>
        <v>6.5</v>
      </c>
      <c r="M31" s="630"/>
      <c r="N31" s="630"/>
      <c r="O31" s="630"/>
      <c r="P31" s="630"/>
      <c r="Q31" s="630"/>
      <c r="R31" s="630"/>
      <c r="S31" s="630"/>
      <c r="T31" s="631"/>
      <c r="U31" s="629">
        <f>+U30+V30+W30</f>
        <v>5</v>
      </c>
      <c r="V31" s="630"/>
      <c r="W31" s="631"/>
      <c r="X31" s="130">
        <f>X30</f>
        <v>16.5</v>
      </c>
      <c r="Y31" s="130">
        <f>Y30</f>
        <v>0</v>
      </c>
      <c r="Z31" s="130">
        <f>Z30</f>
        <v>0</v>
      </c>
      <c r="AA31" s="629">
        <f>+AA30+AB30+AC30</f>
        <v>0</v>
      </c>
      <c r="AB31" s="630"/>
      <c r="AC31" s="631"/>
      <c r="AD31" s="130">
        <f t="shared" ref="AD31:AL31" si="13">AD30</f>
        <v>0</v>
      </c>
      <c r="AE31" s="130">
        <f t="shared" si="13"/>
        <v>0</v>
      </c>
      <c r="AF31" s="130">
        <f t="shared" si="13"/>
        <v>0</v>
      </c>
      <c r="AG31" s="130">
        <f t="shared" si="13"/>
        <v>0</v>
      </c>
      <c r="AH31" s="130">
        <f t="shared" si="13"/>
        <v>0</v>
      </c>
      <c r="AI31" s="130">
        <f t="shared" si="13"/>
        <v>0</v>
      </c>
      <c r="AJ31" s="130">
        <f t="shared" si="13"/>
        <v>0</v>
      </c>
      <c r="AK31" s="130">
        <f t="shared" si="13"/>
        <v>0</v>
      </c>
      <c r="AL31" s="131">
        <f t="shared" si="13"/>
        <v>57</v>
      </c>
    </row>
    <row r="32" spans="2:38" ht="15" thickTop="1"/>
    <row r="34" spans="3:15" hidden="1">
      <c r="C34" s="522"/>
      <c r="D34" s="514" t="s">
        <v>96</v>
      </c>
      <c r="E34" s="515"/>
      <c r="F34" s="514" t="s">
        <v>102</v>
      </c>
      <c r="G34" s="515"/>
      <c r="H34" s="514" t="s">
        <v>103</v>
      </c>
      <c r="I34" s="515"/>
      <c r="J34" s="514" t="s">
        <v>104</v>
      </c>
      <c r="K34" s="515"/>
      <c r="L34" s="514" t="s">
        <v>107</v>
      </c>
      <c r="M34" s="515"/>
      <c r="N34" s="516" t="s">
        <v>6</v>
      </c>
      <c r="O34" s="517"/>
    </row>
    <row r="35" spans="3:15" hidden="1">
      <c r="C35" s="522"/>
      <c r="D35" s="319" t="s">
        <v>97</v>
      </c>
      <c r="E35" s="319" t="s">
        <v>98</v>
      </c>
      <c r="F35" s="319" t="s">
        <v>97</v>
      </c>
      <c r="G35" s="319" t="s">
        <v>98</v>
      </c>
      <c r="H35" s="319" t="s">
        <v>97</v>
      </c>
      <c r="I35" s="319" t="s">
        <v>98</v>
      </c>
      <c r="J35" s="319" t="s">
        <v>97</v>
      </c>
      <c r="K35" s="319" t="s">
        <v>98</v>
      </c>
      <c r="L35" s="319" t="s">
        <v>97</v>
      </c>
      <c r="M35" s="319" t="s">
        <v>98</v>
      </c>
      <c r="N35" s="319" t="s">
        <v>97</v>
      </c>
      <c r="O35" s="319" t="s">
        <v>98</v>
      </c>
    </row>
    <row r="36" spans="3:15" hidden="1">
      <c r="C36" s="320" t="s">
        <v>42</v>
      </c>
      <c r="D36" s="321">
        <f>AL5</f>
        <v>0</v>
      </c>
      <c r="E36" s="337">
        <f>D36/D40</f>
        <v>0</v>
      </c>
      <c r="F36" s="321">
        <f>AL10</f>
        <v>0</v>
      </c>
      <c r="G36" s="322">
        <f>F36/F40</f>
        <v>0</v>
      </c>
      <c r="H36" s="321">
        <f>AL15</f>
        <v>0</v>
      </c>
      <c r="I36" s="322" t="e">
        <f>H36/H40</f>
        <v>#DIV/0!</v>
      </c>
      <c r="J36" s="321">
        <f>AL20</f>
        <v>0</v>
      </c>
      <c r="K36" s="322">
        <f ca="1">J36/J40</f>
        <v>0</v>
      </c>
      <c r="L36" s="321">
        <f>AL26</f>
        <v>0</v>
      </c>
      <c r="M36" s="322">
        <f ca="1">L36/L40</f>
        <v>0</v>
      </c>
      <c r="N36" s="321">
        <f>+D36+F36+H36+J36+L36</f>
        <v>0</v>
      </c>
      <c r="O36" s="322">
        <f>N36/N40</f>
        <v>0</v>
      </c>
    </row>
    <row r="37" spans="3:15" hidden="1">
      <c r="C37" s="320" t="s">
        <v>10</v>
      </c>
      <c r="D37" s="321">
        <f>AL6</f>
        <v>0</v>
      </c>
      <c r="E37" s="337">
        <f>D37/D40</f>
        <v>0</v>
      </c>
      <c r="F37" s="321">
        <f>AL11</f>
        <v>0</v>
      </c>
      <c r="G37" s="322">
        <f>F37/F40</f>
        <v>0</v>
      </c>
      <c r="H37" s="321">
        <f>AL16</f>
        <v>0</v>
      </c>
      <c r="I37" s="322" t="e">
        <f>H37/H40</f>
        <v>#DIV/0!</v>
      </c>
      <c r="J37" s="321">
        <f>AL21</f>
        <v>0</v>
      </c>
      <c r="K37" s="322">
        <f ca="1">J37/J40</f>
        <v>0</v>
      </c>
      <c r="L37" s="321">
        <f>AL27</f>
        <v>0</v>
      </c>
      <c r="M37" s="322">
        <f ca="1">L37/L40</f>
        <v>0</v>
      </c>
      <c r="N37" s="321">
        <f>+D37+F37+H37+J37+L37</f>
        <v>0</v>
      </c>
      <c r="O37" s="322">
        <f>N37/N40</f>
        <v>0</v>
      </c>
    </row>
    <row r="38" spans="3:15" hidden="1">
      <c r="C38" s="320" t="s">
        <v>23</v>
      </c>
      <c r="D38" s="321">
        <f>AL7</f>
        <v>36</v>
      </c>
      <c r="E38" s="337">
        <f>D38/D40</f>
        <v>0.5</v>
      </c>
      <c r="F38" s="321">
        <f>AL12</f>
        <v>21</v>
      </c>
      <c r="G38" s="322">
        <f>F38/F40</f>
        <v>0.5</v>
      </c>
      <c r="H38" s="321">
        <f>AL17</f>
        <v>0</v>
      </c>
      <c r="I38" s="322" t="e">
        <f>H38/H40</f>
        <v>#DIV/0!</v>
      </c>
      <c r="J38" s="321">
        <f>AL22</f>
        <v>0</v>
      </c>
      <c r="K38" s="322">
        <f ca="1">J38/J40</f>
        <v>0</v>
      </c>
      <c r="L38" s="321">
        <f>AL28</f>
        <v>0</v>
      </c>
      <c r="M38" s="322">
        <f ca="1">L38/L40</f>
        <v>0</v>
      </c>
      <c r="N38" s="321">
        <f>+D38+F38+H38+J38+L38</f>
        <v>57</v>
      </c>
      <c r="O38" s="322">
        <f>N38/N40</f>
        <v>0.5</v>
      </c>
    </row>
    <row r="39" spans="3:15" hidden="1">
      <c r="C39" s="320" t="s">
        <v>11</v>
      </c>
      <c r="D39" s="321">
        <f>AL8</f>
        <v>36</v>
      </c>
      <c r="E39" s="337">
        <f>D39/D40</f>
        <v>0.5</v>
      </c>
      <c r="F39" s="321">
        <f>AL13</f>
        <v>21</v>
      </c>
      <c r="G39" s="322">
        <f>F39/F40</f>
        <v>0.5</v>
      </c>
      <c r="H39" s="321">
        <f>AL18</f>
        <v>0</v>
      </c>
      <c r="I39" s="322" t="e">
        <f>H39/H40</f>
        <v>#DIV/0!</v>
      </c>
      <c r="J39" s="321">
        <f>AL23</f>
        <v>0</v>
      </c>
      <c r="K39" s="322">
        <f ca="1">J39/J40</f>
        <v>0</v>
      </c>
      <c r="L39" s="321">
        <f>AL29</f>
        <v>0</v>
      </c>
      <c r="M39" s="322">
        <f ca="1">L39/L40</f>
        <v>0</v>
      </c>
      <c r="N39" s="321">
        <f>+D39+F39+H39+J39+L39</f>
        <v>57</v>
      </c>
      <c r="O39" s="322">
        <f>N39/N40</f>
        <v>0.5</v>
      </c>
    </row>
    <row r="40" spans="3:15" ht="43.5" hidden="1">
      <c r="C40" s="325" t="s">
        <v>101</v>
      </c>
      <c r="D40" s="518">
        <f>SUM(D36:D39)</f>
        <v>72</v>
      </c>
      <c r="E40" s="519"/>
      <c r="F40" s="518">
        <f>SUM(F36:F39)</f>
        <v>42</v>
      </c>
      <c r="G40" s="519"/>
      <c r="H40" s="518">
        <f>SUM(H36:H39)</f>
        <v>0</v>
      </c>
      <c r="I40" s="519"/>
      <c r="J40" s="518">
        <f ca="1">SUM(J36:J40)</f>
        <v>0</v>
      </c>
      <c r="K40" s="519"/>
      <c r="L40" s="518">
        <f ca="1">SUM(L36:L40)</f>
        <v>0</v>
      </c>
      <c r="M40" s="519"/>
      <c r="N40" s="518">
        <f>SUM(N36:N39)</f>
        <v>114</v>
      </c>
      <c r="O40" s="519"/>
    </row>
    <row r="41" spans="3:15" hidden="1"/>
    <row r="42" spans="3:15" hidden="1"/>
    <row r="43" spans="3:15" hidden="1"/>
    <row r="44" spans="3:15" hidden="1"/>
    <row r="45" spans="3:15" hidden="1"/>
    <row r="46" spans="3:15" hidden="1"/>
    <row r="47" spans="3:15" hidden="1"/>
    <row r="48" spans="3:15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</sheetData>
  <mergeCells count="45">
    <mergeCell ref="B31:C31"/>
    <mergeCell ref="L31:T31"/>
    <mergeCell ref="U31:W31"/>
    <mergeCell ref="AA31:AC31"/>
    <mergeCell ref="L29:T29"/>
    <mergeCell ref="U29:W29"/>
    <mergeCell ref="AA29:AC29"/>
    <mergeCell ref="B25:B29"/>
    <mergeCell ref="E31:F31"/>
    <mergeCell ref="L19:T19"/>
    <mergeCell ref="U19:W19"/>
    <mergeCell ref="AA19:AC19"/>
    <mergeCell ref="B15:B19"/>
    <mergeCell ref="L24:T24"/>
    <mergeCell ref="U24:W24"/>
    <mergeCell ref="AA24:AC24"/>
    <mergeCell ref="C2:AL2"/>
    <mergeCell ref="B30:C30"/>
    <mergeCell ref="B5:B9"/>
    <mergeCell ref="B10:B14"/>
    <mergeCell ref="E14:F14"/>
    <mergeCell ref="E9:F9"/>
    <mergeCell ref="E19:F19"/>
    <mergeCell ref="E24:F24"/>
    <mergeCell ref="E29:F29"/>
    <mergeCell ref="L9:T9"/>
    <mergeCell ref="U9:W9"/>
    <mergeCell ref="L14:T14"/>
    <mergeCell ref="U14:W14"/>
    <mergeCell ref="AA9:AC9"/>
    <mergeCell ref="AA14:AC14"/>
    <mergeCell ref="B20:B24"/>
    <mergeCell ref="C34:C35"/>
    <mergeCell ref="D34:E34"/>
    <mergeCell ref="F34:G34"/>
    <mergeCell ref="H34:I34"/>
    <mergeCell ref="J34:K34"/>
    <mergeCell ref="L34:M34"/>
    <mergeCell ref="N34:O34"/>
    <mergeCell ref="D40:E40"/>
    <mergeCell ref="F40:G40"/>
    <mergeCell ref="H40:I40"/>
    <mergeCell ref="J40:K40"/>
    <mergeCell ref="L40:M40"/>
    <mergeCell ref="N40:O40"/>
  </mergeCells>
  <pageMargins left="0" right="0" top="0.75" bottom="0.75" header="0.3" footer="0.3"/>
  <pageSetup paperSize="9" scale="50" orientation="landscape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rgb="FF00B0F0"/>
  </sheetPr>
  <dimension ref="A2:BE295"/>
  <sheetViews>
    <sheetView topLeftCell="U1" zoomScale="84" zoomScaleNormal="84" workbookViewId="0">
      <pane ySplit="6" topLeftCell="A7" activePane="bottomLeft" state="frozen"/>
      <selection pane="bottomLeft" activeCell="AB26" sqref="AB26"/>
    </sheetView>
  </sheetViews>
  <sheetFormatPr defaultRowHeight="14.5"/>
  <cols>
    <col min="1" max="1" width="4.7265625" bestFit="1" customWidth="1"/>
    <col min="2" max="2" width="8.26953125" bestFit="1" customWidth="1"/>
    <col min="3" max="3" width="29.7265625" customWidth="1"/>
    <col min="4" max="4" width="10.26953125" customWidth="1"/>
    <col min="5" max="16" width="4" customWidth="1"/>
    <col min="17" max="17" width="5.81640625" bestFit="1" customWidth="1"/>
    <col min="18" max="18" width="13.1796875" bestFit="1" customWidth="1"/>
    <col min="19" max="19" width="2.1796875" bestFit="1" customWidth="1"/>
    <col min="20" max="20" width="4.7265625" bestFit="1" customWidth="1"/>
    <col min="21" max="21" width="8.26953125" bestFit="1" customWidth="1"/>
    <col min="22" max="22" width="13.1796875" bestFit="1" customWidth="1"/>
    <col min="23" max="23" width="6.1796875" bestFit="1" customWidth="1"/>
    <col min="24" max="24" width="2.1796875" bestFit="1" customWidth="1"/>
    <col min="25" max="25" width="3.1796875" bestFit="1" customWidth="1"/>
    <col min="26" max="26" width="2.81640625" bestFit="1" customWidth="1"/>
    <col min="27" max="35" width="3.1796875" bestFit="1" customWidth="1"/>
    <col min="36" max="36" width="5.81640625" bestFit="1" customWidth="1"/>
    <col min="37" max="37" width="13.1796875" bestFit="1" customWidth="1"/>
    <col min="38" max="38" width="1.1796875" customWidth="1"/>
    <col min="39" max="39" width="4.7265625" bestFit="1" customWidth="1"/>
    <col min="40" max="40" width="8.26953125" bestFit="1" customWidth="1"/>
    <col min="41" max="41" width="38.7265625" bestFit="1" customWidth="1"/>
    <col min="42" max="42" width="17.453125" bestFit="1" customWidth="1"/>
    <col min="43" max="44" width="4.26953125" bestFit="1" customWidth="1"/>
    <col min="45" max="46" width="4.7265625" bestFit="1" customWidth="1"/>
    <col min="47" max="49" width="4.26953125" bestFit="1" customWidth="1"/>
    <col min="50" max="50" width="4.7265625" bestFit="1" customWidth="1"/>
    <col min="51" max="51" width="4.54296875" bestFit="1" customWidth="1"/>
    <col min="52" max="52" width="4.453125" bestFit="1" customWidth="1"/>
    <col min="53" max="54" width="3.7265625" bestFit="1" customWidth="1"/>
    <col min="55" max="55" width="5.81640625" bestFit="1" customWidth="1"/>
    <col min="56" max="56" width="13.1796875" bestFit="1" customWidth="1"/>
  </cols>
  <sheetData>
    <row r="2" spans="1:56" ht="21">
      <c r="A2" s="632" t="s">
        <v>8</v>
      </c>
      <c r="B2" s="632"/>
      <c r="C2" s="632"/>
      <c r="D2" s="632"/>
      <c r="E2" s="632"/>
      <c r="F2" s="632"/>
      <c r="G2" s="632"/>
      <c r="H2" s="632"/>
      <c r="I2" s="632"/>
      <c r="J2" s="632"/>
      <c r="K2" s="632"/>
      <c r="L2" s="632"/>
      <c r="M2" s="632"/>
      <c r="N2" s="632"/>
      <c r="O2" s="632"/>
      <c r="P2" s="632"/>
      <c r="Q2" s="632"/>
      <c r="R2" s="632"/>
      <c r="T2" s="632" t="s">
        <v>43</v>
      </c>
      <c r="U2" s="632"/>
      <c r="V2" s="632"/>
      <c r="W2" s="632"/>
      <c r="X2" s="632"/>
      <c r="Y2" s="632"/>
      <c r="Z2" s="632"/>
      <c r="AA2" s="632"/>
      <c r="AB2" s="632"/>
      <c r="AC2" s="632"/>
      <c r="AD2" s="632"/>
      <c r="AE2" s="632"/>
      <c r="AF2" s="632"/>
      <c r="AG2" s="632"/>
      <c r="AH2" s="632"/>
      <c r="AI2" s="632"/>
      <c r="AJ2" s="632"/>
      <c r="AK2" s="632"/>
      <c r="AM2" s="632" t="s">
        <v>83</v>
      </c>
      <c r="AN2" s="632"/>
      <c r="AO2" s="632"/>
      <c r="AP2" s="632"/>
      <c r="AQ2" s="632"/>
      <c r="AR2" s="632"/>
      <c r="AS2" s="632"/>
      <c r="AT2" s="632"/>
      <c r="AU2" s="632"/>
      <c r="AV2" s="632"/>
      <c r="AW2" s="632"/>
      <c r="AX2" s="632"/>
      <c r="AY2" s="632"/>
      <c r="AZ2" s="632"/>
      <c r="BA2" s="632"/>
      <c r="BB2" s="632"/>
      <c r="BC2" s="632"/>
      <c r="BD2" s="632"/>
    </row>
    <row r="3" spans="1:56" ht="21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M3" s="51"/>
      <c r="AN3" s="134" t="s">
        <v>129</v>
      </c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</row>
    <row r="4" spans="1:56" ht="18" customHeight="1">
      <c r="A4" s="636" t="s">
        <v>17</v>
      </c>
      <c r="B4" s="635" t="s">
        <v>18</v>
      </c>
      <c r="C4" s="635" t="s">
        <v>19</v>
      </c>
      <c r="D4" s="635" t="s">
        <v>20</v>
      </c>
      <c r="E4" s="14">
        <v>3</v>
      </c>
      <c r="F4" s="14">
        <v>4</v>
      </c>
      <c r="G4" s="14">
        <v>5</v>
      </c>
      <c r="H4" s="14">
        <v>6</v>
      </c>
      <c r="I4" s="14">
        <v>7</v>
      </c>
      <c r="J4" s="14">
        <v>8</v>
      </c>
      <c r="K4" s="14">
        <v>9</v>
      </c>
      <c r="L4" s="14">
        <v>10</v>
      </c>
      <c r="M4" s="14">
        <v>11</v>
      </c>
      <c r="N4" s="14">
        <v>12</v>
      </c>
      <c r="O4" s="14">
        <v>13</v>
      </c>
      <c r="P4" s="16">
        <v>14</v>
      </c>
      <c r="Q4" s="635" t="s">
        <v>16</v>
      </c>
      <c r="R4" s="636" t="s">
        <v>21</v>
      </c>
      <c r="T4" s="636" t="s">
        <v>17</v>
      </c>
      <c r="U4" s="635" t="s">
        <v>18</v>
      </c>
      <c r="V4" s="635" t="s">
        <v>19</v>
      </c>
      <c r="W4" s="635" t="s">
        <v>20</v>
      </c>
      <c r="X4" s="14">
        <v>3</v>
      </c>
      <c r="Y4" s="14">
        <v>4</v>
      </c>
      <c r="Z4" s="14">
        <v>5</v>
      </c>
      <c r="AA4" s="14">
        <v>6</v>
      </c>
      <c r="AB4" s="14">
        <v>7</v>
      </c>
      <c r="AC4" s="14">
        <v>8</v>
      </c>
      <c r="AD4" s="14">
        <v>9</v>
      </c>
      <c r="AE4" s="14">
        <v>10</v>
      </c>
      <c r="AF4" s="14">
        <v>11</v>
      </c>
      <c r="AG4" s="14">
        <v>12</v>
      </c>
      <c r="AH4" s="14">
        <v>13</v>
      </c>
      <c r="AI4" s="14">
        <v>14</v>
      </c>
      <c r="AJ4" s="635" t="s">
        <v>16</v>
      </c>
      <c r="AK4" s="636" t="s">
        <v>21</v>
      </c>
      <c r="AM4" s="636" t="s">
        <v>17</v>
      </c>
      <c r="AN4" s="644" t="s">
        <v>18</v>
      </c>
      <c r="AO4" s="635" t="s">
        <v>19</v>
      </c>
      <c r="AP4" s="635" t="s">
        <v>20</v>
      </c>
      <c r="AQ4" s="15">
        <v>3</v>
      </c>
      <c r="AR4" s="14">
        <v>4</v>
      </c>
      <c r="AS4" s="14">
        <v>5</v>
      </c>
      <c r="AT4" s="14">
        <v>6</v>
      </c>
      <c r="AU4" s="14">
        <v>7</v>
      </c>
      <c r="AV4" s="14">
        <v>8</v>
      </c>
      <c r="AW4" s="14">
        <v>9</v>
      </c>
      <c r="AX4" s="14">
        <v>10</v>
      </c>
      <c r="AY4" s="14">
        <v>11</v>
      </c>
      <c r="AZ4" s="14">
        <v>12</v>
      </c>
      <c r="BA4" s="14">
        <v>13</v>
      </c>
      <c r="BB4" s="16">
        <v>14</v>
      </c>
      <c r="BC4" s="635" t="s">
        <v>16</v>
      </c>
      <c r="BD4" s="636" t="s">
        <v>21</v>
      </c>
    </row>
    <row r="5" spans="1:56">
      <c r="A5" s="636"/>
      <c r="B5" s="635"/>
      <c r="C5" s="635"/>
      <c r="D5" s="635"/>
      <c r="E5" s="14">
        <v>7</v>
      </c>
      <c r="F5" s="14">
        <v>8</v>
      </c>
      <c r="G5" s="14">
        <v>9</v>
      </c>
      <c r="H5" s="14">
        <v>10</v>
      </c>
      <c r="I5" s="14">
        <v>11</v>
      </c>
      <c r="J5" s="14">
        <v>12</v>
      </c>
      <c r="K5" s="14">
        <v>13</v>
      </c>
      <c r="L5" s="14">
        <v>1</v>
      </c>
      <c r="M5" s="14">
        <v>2</v>
      </c>
      <c r="N5" s="14">
        <v>3</v>
      </c>
      <c r="O5" s="14">
        <v>4</v>
      </c>
      <c r="P5" s="16">
        <v>5</v>
      </c>
      <c r="Q5" s="635"/>
      <c r="R5" s="636"/>
      <c r="T5" s="636"/>
      <c r="U5" s="635"/>
      <c r="V5" s="635"/>
      <c r="W5" s="635"/>
      <c r="X5" s="14">
        <v>7</v>
      </c>
      <c r="Y5" s="14">
        <v>8</v>
      </c>
      <c r="Z5" s="14">
        <v>9</v>
      </c>
      <c r="AA5" s="14">
        <v>10</v>
      </c>
      <c r="AB5" s="14">
        <v>11</v>
      </c>
      <c r="AC5" s="14">
        <v>12</v>
      </c>
      <c r="AD5" s="14">
        <v>13</v>
      </c>
      <c r="AE5" s="14">
        <v>1</v>
      </c>
      <c r="AF5" s="14">
        <v>2</v>
      </c>
      <c r="AG5" s="14">
        <v>3</v>
      </c>
      <c r="AH5" s="14">
        <v>4</v>
      </c>
      <c r="AI5" s="14">
        <v>5</v>
      </c>
      <c r="AJ5" s="635"/>
      <c r="AK5" s="636"/>
      <c r="AM5" s="636"/>
      <c r="AN5" s="645"/>
      <c r="AO5" s="635"/>
      <c r="AP5" s="635"/>
      <c r="AQ5" s="15">
        <v>7</v>
      </c>
      <c r="AR5" s="14">
        <v>8</v>
      </c>
      <c r="AS5" s="14">
        <v>9</v>
      </c>
      <c r="AT5" s="14">
        <v>10</v>
      </c>
      <c r="AU5" s="14">
        <v>11</v>
      </c>
      <c r="AV5" s="14">
        <v>12</v>
      </c>
      <c r="AW5" s="14">
        <v>13</v>
      </c>
      <c r="AX5" s="14">
        <v>1</v>
      </c>
      <c r="AY5" s="14">
        <v>2</v>
      </c>
      <c r="AZ5" s="14">
        <v>3</v>
      </c>
      <c r="BA5" s="14">
        <v>4</v>
      </c>
      <c r="BB5" s="16">
        <v>5</v>
      </c>
      <c r="BC5" s="635"/>
      <c r="BD5" s="636"/>
    </row>
    <row r="6" spans="1:56" ht="15" thickBot="1">
      <c r="A6" s="637"/>
      <c r="B6" s="638"/>
      <c r="C6" s="635"/>
      <c r="D6" s="635"/>
      <c r="E6" s="312" t="s">
        <v>24</v>
      </c>
      <c r="F6" s="312" t="s">
        <v>25</v>
      </c>
      <c r="G6" s="312" t="s">
        <v>26</v>
      </c>
      <c r="H6" s="312" t="s">
        <v>27</v>
      </c>
      <c r="I6" s="312" t="s">
        <v>28</v>
      </c>
      <c r="J6" s="312" t="s">
        <v>29</v>
      </c>
      <c r="K6" s="312" t="s">
        <v>30</v>
      </c>
      <c r="L6" s="312"/>
      <c r="M6" s="312"/>
      <c r="N6" s="312"/>
      <c r="O6" s="312"/>
      <c r="P6" s="312"/>
      <c r="Q6" s="642"/>
      <c r="R6" s="636"/>
      <c r="T6" s="637"/>
      <c r="U6" s="638"/>
      <c r="V6" s="635"/>
      <c r="W6" s="635"/>
      <c r="X6" s="14" t="s">
        <v>24</v>
      </c>
      <c r="Y6" s="14" t="s">
        <v>25</v>
      </c>
      <c r="Z6" s="14" t="s">
        <v>26</v>
      </c>
      <c r="AA6" s="14" t="s">
        <v>27</v>
      </c>
      <c r="AB6" s="14" t="s">
        <v>28</v>
      </c>
      <c r="AC6" s="14" t="s">
        <v>29</v>
      </c>
      <c r="AD6" s="14" t="s">
        <v>30</v>
      </c>
      <c r="AE6" s="17"/>
      <c r="AF6" s="17"/>
      <c r="AG6" s="17"/>
      <c r="AH6" s="17"/>
      <c r="AI6" s="17"/>
      <c r="AJ6" s="635"/>
      <c r="AK6" s="636"/>
      <c r="AM6" s="637"/>
      <c r="AN6" s="645"/>
      <c r="AO6" s="635"/>
      <c r="AP6" s="635"/>
      <c r="AQ6" s="14" t="s">
        <v>24</v>
      </c>
      <c r="AR6" s="14" t="s">
        <v>25</v>
      </c>
      <c r="AS6" s="14" t="s">
        <v>26</v>
      </c>
      <c r="AT6" s="14" t="s">
        <v>27</v>
      </c>
      <c r="AU6" s="14" t="s">
        <v>28</v>
      </c>
      <c r="AV6" s="14" t="s">
        <v>29</v>
      </c>
      <c r="AW6" s="14" t="s">
        <v>30</v>
      </c>
      <c r="AX6" s="17"/>
      <c r="AY6" s="17"/>
      <c r="AZ6" s="17"/>
      <c r="BA6" s="17"/>
      <c r="BB6" s="17"/>
      <c r="BC6" s="635"/>
      <c r="BD6" s="636"/>
    </row>
    <row r="7" spans="1:56" s="352" customFormat="1" ht="10.5" customHeight="1" thickBot="1">
      <c r="A7" s="365"/>
      <c r="B7" s="366"/>
      <c r="C7" s="366"/>
      <c r="D7" s="366"/>
      <c r="E7" s="366"/>
      <c r="F7" s="366"/>
      <c r="G7" s="366"/>
      <c r="H7" s="366"/>
      <c r="I7" s="366"/>
      <c r="J7" s="366"/>
      <c r="K7" s="366"/>
      <c r="L7" s="366"/>
      <c r="M7" s="366"/>
      <c r="N7" s="366"/>
      <c r="O7" s="366"/>
      <c r="P7" s="366"/>
      <c r="Q7" s="366"/>
      <c r="R7" s="359"/>
      <c r="T7" s="359"/>
      <c r="U7" s="360"/>
      <c r="V7" s="361"/>
      <c r="W7" s="361"/>
      <c r="X7" s="361"/>
      <c r="Y7" s="361"/>
      <c r="Z7" s="361"/>
      <c r="AA7" s="361"/>
      <c r="AB7" s="361"/>
      <c r="AC7" s="361"/>
      <c r="AD7" s="361"/>
      <c r="AE7" s="362"/>
      <c r="AF7" s="362"/>
      <c r="AG7" s="362"/>
      <c r="AH7" s="362"/>
      <c r="AI7" s="362"/>
      <c r="AJ7" s="361"/>
      <c r="AK7" s="363"/>
      <c r="AM7" s="359"/>
      <c r="AN7" s="364"/>
      <c r="AO7" s="361"/>
      <c r="AP7" s="361"/>
      <c r="AQ7" s="361"/>
      <c r="AR7" s="361"/>
      <c r="AS7" s="361"/>
      <c r="AT7" s="361"/>
      <c r="AU7" s="361"/>
      <c r="AV7" s="361"/>
      <c r="AW7" s="361"/>
      <c r="AX7" s="362"/>
      <c r="AY7" s="362"/>
      <c r="AZ7" s="362"/>
      <c r="BA7" s="362"/>
      <c r="BB7" s="362"/>
      <c r="BC7" s="361"/>
      <c r="BD7" s="359"/>
    </row>
    <row r="8" spans="1:56" ht="15" thickBot="1">
      <c r="A8" s="253"/>
      <c r="B8" s="250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9">
        <f t="shared" ref="Q8:Q21" si="0">SUM(E8:P8)</f>
        <v>0</v>
      </c>
      <c r="R8" s="639">
        <f>SUM(Q8:Q9)</f>
        <v>0</v>
      </c>
      <c r="T8" s="206"/>
      <c r="U8" s="273"/>
      <c r="V8" s="202"/>
      <c r="W8" s="202"/>
      <c r="X8" s="276"/>
      <c r="Y8" s="275"/>
      <c r="Z8" s="277"/>
      <c r="AA8" s="275"/>
      <c r="AB8" s="277"/>
      <c r="AC8" s="275"/>
      <c r="AD8" s="276"/>
      <c r="AE8" s="276"/>
      <c r="AF8" s="276"/>
      <c r="AG8" s="276"/>
      <c r="AH8" s="276"/>
      <c r="AI8" s="276"/>
      <c r="AJ8" s="203">
        <f>SUM(X8:AI8)</f>
        <v>0</v>
      </c>
      <c r="AK8" s="404">
        <f>SUM(AJ8:AJ9)</f>
        <v>0</v>
      </c>
      <c r="AM8" s="253"/>
      <c r="AN8" s="250"/>
      <c r="AO8" s="12"/>
      <c r="AP8" s="12"/>
      <c r="AQ8" s="411"/>
      <c r="AR8" s="173"/>
      <c r="AS8" s="173"/>
      <c r="AT8" s="173"/>
      <c r="AU8" s="173"/>
      <c r="AV8" s="173"/>
      <c r="AW8" s="173"/>
      <c r="AX8" s="173"/>
      <c r="AY8" s="173"/>
      <c r="AZ8" s="173"/>
      <c r="BA8" s="173"/>
      <c r="BB8" s="138"/>
      <c r="BC8" s="356">
        <f t="shared" ref="BC8:BC30" si="1">SUM(AQ8:BB8)</f>
        <v>0</v>
      </c>
      <c r="BD8" s="459"/>
    </row>
    <row r="9" spans="1:56" ht="15" thickBot="1">
      <c r="A9" s="239"/>
      <c r="B9" s="254"/>
      <c r="C9" s="251"/>
      <c r="D9" s="138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3">
        <f t="shared" si="0"/>
        <v>0</v>
      </c>
      <c r="R9" s="641"/>
      <c r="T9" s="253"/>
      <c r="U9" s="250"/>
      <c r="V9" s="138"/>
      <c r="W9" s="138"/>
      <c r="X9" s="285"/>
      <c r="Y9" s="286"/>
      <c r="Z9" s="287"/>
      <c r="AA9" s="287"/>
      <c r="AB9" s="286"/>
      <c r="AC9" s="285"/>
      <c r="AD9" s="285"/>
      <c r="AE9" s="285"/>
      <c r="AF9" s="285"/>
      <c r="AG9" s="285"/>
      <c r="AH9" s="285"/>
      <c r="AI9" s="285"/>
      <c r="AJ9" s="139">
        <f t="shared" ref="AJ9:AJ69" si="2">SUM(X9:AI9)</f>
        <v>0</v>
      </c>
      <c r="AK9" s="639">
        <f>SUM(AJ9:AJ17)</f>
        <v>0</v>
      </c>
      <c r="AM9" s="247"/>
      <c r="AN9" s="248"/>
      <c r="AO9" s="31"/>
      <c r="AP9" s="31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31"/>
      <c r="BC9" s="413">
        <f t="shared" si="1"/>
        <v>0</v>
      </c>
      <c r="BD9" s="432"/>
    </row>
    <row r="10" spans="1:56" ht="15" thickBot="1">
      <c r="A10" s="424"/>
      <c r="B10" s="250"/>
      <c r="C10" s="137"/>
      <c r="D10" s="137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9">
        <f>SUM(E10:P10)</f>
        <v>0</v>
      </c>
      <c r="R10" s="438"/>
      <c r="T10" s="247"/>
      <c r="U10" s="248"/>
      <c r="V10" s="12"/>
      <c r="W10" s="12"/>
      <c r="X10" s="163"/>
      <c r="Y10" s="168"/>
      <c r="Z10" s="164"/>
      <c r="AA10" s="164"/>
      <c r="AB10" s="168"/>
      <c r="AC10" s="163"/>
      <c r="AD10" s="163"/>
      <c r="AE10" s="163"/>
      <c r="AF10" s="163"/>
      <c r="AG10" s="163"/>
      <c r="AH10" s="163"/>
      <c r="AI10" s="163"/>
      <c r="AJ10" s="136"/>
      <c r="AK10" s="640"/>
      <c r="AM10" s="239"/>
      <c r="AN10" s="254"/>
      <c r="AO10" s="141"/>
      <c r="AP10" s="141"/>
      <c r="AQ10" s="171"/>
      <c r="AR10" s="171"/>
      <c r="AS10" s="171"/>
      <c r="AT10" s="171"/>
      <c r="AU10" s="171"/>
      <c r="AV10" s="171"/>
      <c r="AW10" s="171"/>
      <c r="AX10" s="171"/>
      <c r="AY10" s="171"/>
      <c r="AZ10" s="171"/>
      <c r="BA10" s="171"/>
      <c r="BB10" s="141"/>
      <c r="BC10" s="407">
        <f t="shared" si="1"/>
        <v>0</v>
      </c>
      <c r="BD10" s="433"/>
    </row>
    <row r="11" spans="1:56" ht="15" thickBot="1">
      <c r="A11" s="386"/>
      <c r="B11" s="254"/>
      <c r="C11" s="400"/>
      <c r="D11" s="251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3">
        <f t="shared" si="0"/>
        <v>0</v>
      </c>
      <c r="R11" s="226"/>
      <c r="T11" s="247"/>
      <c r="U11" s="248"/>
      <c r="V11" s="31"/>
      <c r="W11" s="31"/>
      <c r="X11" s="214"/>
      <c r="Y11" s="49"/>
      <c r="Z11" s="48"/>
      <c r="AA11" s="48"/>
      <c r="AB11" s="49"/>
      <c r="AC11" s="214"/>
      <c r="AD11" s="214"/>
      <c r="AE11" s="214"/>
      <c r="AF11" s="214"/>
      <c r="AG11" s="214"/>
      <c r="AH11" s="214"/>
      <c r="AI11" s="214"/>
      <c r="AJ11" s="32">
        <f t="shared" si="2"/>
        <v>0</v>
      </c>
      <c r="AK11" s="640"/>
      <c r="AM11" s="224"/>
      <c r="AN11" s="263"/>
      <c r="AO11" s="12"/>
      <c r="AP11" s="12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2"/>
      <c r="BC11" s="444">
        <f>SUM(AQ11:BB11)</f>
        <v>0</v>
      </c>
      <c r="BD11" s="460"/>
    </row>
    <row r="12" spans="1:56" ht="15" thickBot="1">
      <c r="A12" s="386"/>
      <c r="B12" s="254"/>
      <c r="C12" s="400"/>
      <c r="D12" s="202"/>
      <c r="E12" s="202"/>
      <c r="F12" s="202"/>
      <c r="G12" s="202"/>
      <c r="H12" s="202"/>
      <c r="I12" s="202"/>
      <c r="J12" s="202"/>
      <c r="K12" s="425"/>
      <c r="L12" s="202"/>
      <c r="M12" s="202"/>
      <c r="N12" s="202"/>
      <c r="O12" s="202"/>
      <c r="P12" s="202"/>
      <c r="Q12" s="203">
        <f t="shared" si="0"/>
        <v>0</v>
      </c>
      <c r="R12" s="226"/>
      <c r="T12" s="247"/>
      <c r="U12" s="248"/>
      <c r="V12" s="31"/>
      <c r="W12" s="31"/>
      <c r="X12" s="49"/>
      <c r="Y12" s="49"/>
      <c r="Z12" s="49"/>
      <c r="AA12" s="49"/>
      <c r="AB12" s="49"/>
      <c r="AC12" s="49"/>
      <c r="AD12" s="48"/>
      <c r="AE12" s="48"/>
      <c r="AF12" s="48"/>
      <c r="AG12" s="214"/>
      <c r="AH12" s="214"/>
      <c r="AI12" s="214"/>
      <c r="AJ12" s="32">
        <f t="shared" si="2"/>
        <v>0</v>
      </c>
      <c r="AK12" s="640"/>
      <c r="AM12" s="461"/>
      <c r="AN12" s="462"/>
      <c r="AO12" s="141"/>
      <c r="AP12" s="141"/>
      <c r="AQ12" s="171"/>
      <c r="AR12" s="171"/>
      <c r="AS12" s="171"/>
      <c r="AT12" s="171"/>
      <c r="AU12" s="171"/>
      <c r="AV12" s="171"/>
      <c r="AW12" s="171"/>
      <c r="AX12" s="171"/>
      <c r="AY12" s="171"/>
      <c r="AZ12" s="171"/>
      <c r="BA12" s="171"/>
      <c r="BB12" s="171"/>
      <c r="BC12" s="407">
        <f t="shared" si="1"/>
        <v>0</v>
      </c>
      <c r="BD12" s="463"/>
    </row>
    <row r="13" spans="1:56">
      <c r="A13" s="429"/>
      <c r="B13" s="250"/>
      <c r="C13" s="427"/>
      <c r="D13" s="427"/>
      <c r="E13" s="427"/>
      <c r="F13" s="427"/>
      <c r="G13" s="427"/>
      <c r="H13" s="427"/>
      <c r="I13" s="427"/>
      <c r="J13" s="427"/>
      <c r="K13" s="427"/>
      <c r="L13" s="427"/>
      <c r="M13" s="427"/>
      <c r="N13" s="427"/>
      <c r="O13" s="427"/>
      <c r="P13" s="427"/>
      <c r="Q13" s="428">
        <f t="shared" si="0"/>
        <v>0</v>
      </c>
      <c r="R13" s="639">
        <f>SUM(Q13:Q16)</f>
        <v>0</v>
      </c>
      <c r="T13" s="247"/>
      <c r="U13" s="248"/>
      <c r="V13" s="354"/>
      <c r="W13" s="354"/>
      <c r="X13" s="49"/>
      <c r="Y13" s="49"/>
      <c r="Z13" s="49"/>
      <c r="AA13" s="49"/>
      <c r="AB13" s="49"/>
      <c r="AC13" s="49"/>
      <c r="AD13" s="214"/>
      <c r="AE13" s="214"/>
      <c r="AF13" s="214"/>
      <c r="AG13" s="214"/>
      <c r="AH13" s="214"/>
      <c r="AI13" s="214"/>
      <c r="AJ13" s="32">
        <f>SUM(X13:AI13)</f>
        <v>0</v>
      </c>
      <c r="AK13" s="640"/>
      <c r="AM13" s="253"/>
      <c r="AN13" s="250"/>
      <c r="AO13" s="464"/>
      <c r="AP13" s="138"/>
      <c r="AQ13" s="411"/>
      <c r="AR13" s="173"/>
      <c r="AS13" s="173"/>
      <c r="AT13" s="411"/>
      <c r="AU13" s="173"/>
      <c r="AV13" s="173"/>
      <c r="AW13" s="173"/>
      <c r="AX13" s="173"/>
      <c r="AY13" s="173"/>
      <c r="AZ13" s="173"/>
      <c r="BA13" s="173"/>
      <c r="BB13" s="138"/>
      <c r="BC13" s="465">
        <f t="shared" si="1"/>
        <v>0</v>
      </c>
      <c r="BD13" s="643">
        <f>SUM(BC13:BC18)</f>
        <v>0</v>
      </c>
    </row>
    <row r="14" spans="1:56">
      <c r="A14" s="426"/>
      <c r="B14" s="248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36">
        <f>SUM(E14:P14)</f>
        <v>0</v>
      </c>
      <c r="R14" s="640"/>
      <c r="T14" s="247"/>
      <c r="U14" s="248"/>
      <c r="V14" s="31"/>
      <c r="W14" s="31"/>
      <c r="X14" s="49"/>
      <c r="Y14" s="49"/>
      <c r="Z14" s="49"/>
      <c r="AA14" s="49"/>
      <c r="AB14" s="49"/>
      <c r="AC14" s="49"/>
      <c r="AD14" s="48"/>
      <c r="AE14" s="214"/>
      <c r="AF14" s="48"/>
      <c r="AG14" s="214"/>
      <c r="AH14" s="214"/>
      <c r="AI14" s="214"/>
      <c r="AJ14" s="32">
        <f t="shared" si="2"/>
        <v>0</v>
      </c>
      <c r="AK14" s="640"/>
      <c r="AM14" s="247"/>
      <c r="AN14" s="248"/>
      <c r="AO14" s="446"/>
      <c r="AP14" s="31"/>
      <c r="AQ14" s="412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413">
        <f t="shared" si="1"/>
        <v>0</v>
      </c>
      <c r="BD14" s="633"/>
    </row>
    <row r="15" spans="1:56">
      <c r="A15" s="390"/>
      <c r="B15" s="248"/>
      <c r="C15" s="194"/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447"/>
      <c r="R15" s="640"/>
      <c r="T15" s="247"/>
      <c r="U15" s="248"/>
      <c r="V15" s="31"/>
      <c r="W15" s="31"/>
      <c r="X15" s="49"/>
      <c r="Y15" s="49"/>
      <c r="Z15" s="49"/>
      <c r="AA15" s="49"/>
      <c r="AB15" s="49"/>
      <c r="AC15" s="49"/>
      <c r="AD15" s="48"/>
      <c r="AE15" s="214"/>
      <c r="AF15" s="48"/>
      <c r="AG15" s="214"/>
      <c r="AH15" s="214"/>
      <c r="AI15" s="214"/>
      <c r="AJ15" s="32"/>
      <c r="AK15" s="640"/>
      <c r="AM15" s="247"/>
      <c r="AN15" s="248"/>
      <c r="AO15" s="446"/>
      <c r="AP15" s="12"/>
      <c r="AQ15" s="4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413">
        <f t="shared" si="1"/>
        <v>0</v>
      </c>
      <c r="BD15" s="633"/>
    </row>
    <row r="16" spans="1:56" ht="15" thickBot="1">
      <c r="A16" s="239"/>
      <c r="B16" s="254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2"/>
      <c r="Q16" s="142">
        <f t="shared" si="0"/>
        <v>0</v>
      </c>
      <c r="R16" s="641"/>
      <c r="T16" s="247"/>
      <c r="U16" s="248"/>
      <c r="V16" s="354"/>
      <c r="W16" s="354"/>
      <c r="X16" s="49"/>
      <c r="Y16" s="49"/>
      <c r="Z16" s="49"/>
      <c r="AA16" s="49"/>
      <c r="AB16" s="49"/>
      <c r="AC16" s="49"/>
      <c r="AD16" s="214"/>
      <c r="AE16" s="214"/>
      <c r="AF16" s="214"/>
      <c r="AG16" s="214"/>
      <c r="AH16" s="214"/>
      <c r="AI16" s="214"/>
      <c r="AJ16" s="32">
        <f t="shared" si="2"/>
        <v>0</v>
      </c>
      <c r="AK16" s="640"/>
      <c r="AM16" s="247"/>
      <c r="AN16" s="248"/>
      <c r="AO16" s="445"/>
      <c r="AP16" s="12"/>
      <c r="AQ16" s="419"/>
      <c r="AR16" s="19"/>
      <c r="AS16" s="19"/>
      <c r="AT16" s="19"/>
      <c r="AU16" s="19"/>
      <c r="AV16" s="19"/>
      <c r="AW16" s="12"/>
      <c r="AX16" s="12"/>
      <c r="AY16" s="12"/>
      <c r="AZ16" s="12"/>
      <c r="BA16" s="12"/>
      <c r="BB16" s="12"/>
      <c r="BC16" s="215">
        <f t="shared" si="1"/>
        <v>0</v>
      </c>
      <c r="BD16" s="633"/>
    </row>
    <row r="17" spans="1:57">
      <c r="A17" s="247"/>
      <c r="B17" s="248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36">
        <f t="shared" si="0"/>
        <v>0</v>
      </c>
      <c r="R17" s="223"/>
      <c r="T17" s="247"/>
      <c r="U17" s="248"/>
      <c r="V17" s="434"/>
      <c r="W17" s="434"/>
      <c r="X17" s="435"/>
      <c r="Y17" s="435"/>
      <c r="Z17" s="435"/>
      <c r="AA17" s="435"/>
      <c r="AB17" s="435"/>
      <c r="AC17" s="435"/>
      <c r="AD17" s="436"/>
      <c r="AE17" s="436"/>
      <c r="AF17" s="436"/>
      <c r="AG17" s="436"/>
      <c r="AH17" s="436"/>
      <c r="AI17" s="436"/>
      <c r="AJ17" s="437"/>
      <c r="AK17" s="640"/>
      <c r="AM17" s="247"/>
      <c r="AN17" s="248"/>
      <c r="AO17" s="446"/>
      <c r="AP17" s="12"/>
      <c r="AQ17" s="419"/>
      <c r="AR17" s="19"/>
      <c r="AS17" s="19"/>
      <c r="AT17" s="19"/>
      <c r="AU17" s="19"/>
      <c r="AV17" s="19"/>
      <c r="AW17" s="12"/>
      <c r="AX17" s="12"/>
      <c r="AY17" s="12"/>
      <c r="AZ17" s="12"/>
      <c r="BA17" s="12"/>
      <c r="BB17" s="12"/>
      <c r="BC17" s="215">
        <f t="shared" si="1"/>
        <v>0</v>
      </c>
      <c r="BD17" s="633"/>
    </row>
    <row r="18" spans="1:57" ht="15" thickBot="1">
      <c r="A18" s="247"/>
      <c r="B18" s="248"/>
      <c r="C18" s="245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36">
        <f>SUM(E18:P18)</f>
        <v>0</v>
      </c>
      <c r="R18" s="223"/>
      <c r="T18" s="247"/>
      <c r="U18" s="248"/>
      <c r="V18" s="290"/>
      <c r="W18" s="290"/>
      <c r="X18" s="163"/>
      <c r="Y18" s="168"/>
      <c r="Z18" s="168"/>
      <c r="AA18" s="168"/>
      <c r="AB18" s="168"/>
      <c r="AC18" s="168"/>
      <c r="AD18" s="168"/>
      <c r="AE18" s="163"/>
      <c r="AF18" s="163"/>
      <c r="AG18" s="163"/>
      <c r="AH18" s="163"/>
      <c r="AI18" s="163"/>
      <c r="AJ18" s="136">
        <f t="shared" si="2"/>
        <v>0</v>
      </c>
      <c r="AK18" s="640">
        <f>SUM(AJ18:AJ19)</f>
        <v>0</v>
      </c>
      <c r="AM18" s="239"/>
      <c r="AN18" s="254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1"/>
      <c r="BA18" s="141"/>
      <c r="BB18" s="141"/>
      <c r="BC18" s="430">
        <f t="shared" si="1"/>
        <v>0</v>
      </c>
      <c r="BD18" s="634"/>
    </row>
    <row r="19" spans="1:57" ht="15" thickBot="1">
      <c r="A19" s="239"/>
      <c r="B19" s="254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3">
        <f>SUM(E19:P19)</f>
        <v>0</v>
      </c>
      <c r="R19" s="226"/>
      <c r="T19" s="239"/>
      <c r="U19" s="254"/>
      <c r="V19" s="292"/>
      <c r="W19" s="292"/>
      <c r="X19" s="170"/>
      <c r="Y19" s="289"/>
      <c r="Z19" s="289"/>
      <c r="AA19" s="289"/>
      <c r="AB19" s="289"/>
      <c r="AC19" s="289"/>
      <c r="AD19" s="289"/>
      <c r="AE19" s="170"/>
      <c r="AF19" s="170"/>
      <c r="AG19" s="170"/>
      <c r="AH19" s="170"/>
      <c r="AI19" s="170"/>
      <c r="AJ19" s="142">
        <f t="shared" si="2"/>
        <v>0</v>
      </c>
      <c r="AK19" s="641"/>
      <c r="AM19" s="247"/>
      <c r="AN19" s="248"/>
      <c r="AO19" s="12"/>
      <c r="AP19" s="12"/>
      <c r="AQ19" s="12"/>
      <c r="AR19" s="12"/>
      <c r="AS19" s="12"/>
      <c r="AT19" s="12"/>
      <c r="AU19" s="12"/>
      <c r="AV19" s="19"/>
      <c r="AW19" s="12"/>
      <c r="AX19" s="12"/>
      <c r="AY19" s="12"/>
      <c r="AZ19" s="12"/>
      <c r="BA19" s="12"/>
      <c r="BB19" s="12"/>
      <c r="BC19" s="215">
        <f t="shared" si="1"/>
        <v>0</v>
      </c>
      <c r="BD19" s="643">
        <f>SUM(BC19:BC22)</f>
        <v>0</v>
      </c>
    </row>
    <row r="20" spans="1:57" ht="15" thickBot="1">
      <c r="A20" s="386"/>
      <c r="B20" s="254"/>
      <c r="C20" s="408"/>
      <c r="D20" s="274"/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3">
        <f t="shared" si="0"/>
        <v>0</v>
      </c>
      <c r="R20" s="299">
        <v>0</v>
      </c>
      <c r="T20" s="253"/>
      <c r="U20" s="250"/>
      <c r="V20" s="293"/>
      <c r="W20" s="293"/>
      <c r="X20" s="285"/>
      <c r="Y20" s="286"/>
      <c r="Z20" s="286"/>
      <c r="AA20" s="286"/>
      <c r="AB20" s="286"/>
      <c r="AC20" s="286"/>
      <c r="AD20" s="286"/>
      <c r="AE20" s="285"/>
      <c r="AF20" s="285"/>
      <c r="AG20" s="285"/>
      <c r="AH20" s="285"/>
      <c r="AI20" s="285"/>
      <c r="AJ20" s="139">
        <f t="shared" si="2"/>
        <v>0</v>
      </c>
      <c r="AK20" s="639">
        <f>SUM(AJ20:AJ21)</f>
        <v>0</v>
      </c>
      <c r="AM20" s="247"/>
      <c r="AN20" s="248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36">
        <f t="shared" si="1"/>
        <v>0</v>
      </c>
      <c r="BD20" s="633"/>
    </row>
    <row r="21" spans="1:57" ht="15" customHeight="1" thickBot="1">
      <c r="A21" s="403"/>
      <c r="B21" s="273"/>
      <c r="C21" s="408"/>
      <c r="D21" s="274"/>
      <c r="E21" s="274"/>
      <c r="F21" s="274"/>
      <c r="G21" s="274"/>
      <c r="H21" s="274"/>
      <c r="I21" s="274"/>
      <c r="J21" s="274"/>
      <c r="K21" s="274"/>
      <c r="L21" s="274"/>
      <c r="M21" s="274"/>
      <c r="N21" s="274"/>
      <c r="O21" s="274"/>
      <c r="P21" s="274"/>
      <c r="Q21" s="204">
        <f t="shared" si="0"/>
        <v>0</v>
      </c>
      <c r="R21" s="205">
        <v>0</v>
      </c>
      <c r="T21" s="239"/>
      <c r="U21" s="254"/>
      <c r="V21" s="141"/>
      <c r="W21" s="141"/>
      <c r="X21" s="170"/>
      <c r="Y21" s="289"/>
      <c r="Z21" s="289"/>
      <c r="AA21" s="289"/>
      <c r="AB21" s="289"/>
      <c r="AC21" s="289"/>
      <c r="AD21" s="289"/>
      <c r="AE21" s="170"/>
      <c r="AF21" s="169"/>
      <c r="AG21" s="169"/>
      <c r="AH21" s="169"/>
      <c r="AI21" s="170"/>
      <c r="AJ21" s="142">
        <f t="shared" si="2"/>
        <v>0</v>
      </c>
      <c r="AK21" s="641"/>
      <c r="AM21" s="247"/>
      <c r="AN21" s="195"/>
      <c r="AO21" s="31"/>
      <c r="AP21" s="31"/>
      <c r="AQ21" s="31"/>
      <c r="AR21" s="18"/>
      <c r="AS21" s="18"/>
      <c r="AT21" s="31"/>
      <c r="AU21" s="18"/>
      <c r="AV21" s="18"/>
      <c r="AW21" s="18"/>
      <c r="AX21" s="31"/>
      <c r="AY21" s="31"/>
      <c r="AZ21" s="31"/>
      <c r="BA21" s="31"/>
      <c r="BB21" s="31"/>
      <c r="BC21" s="32">
        <f t="shared" si="1"/>
        <v>0</v>
      </c>
      <c r="BD21" s="633"/>
    </row>
    <row r="22" spans="1:57" ht="15" customHeight="1" thickBot="1">
      <c r="A22" s="403"/>
      <c r="B22" s="273"/>
      <c r="C22" s="408"/>
      <c r="D22" s="274"/>
      <c r="E22" s="274"/>
      <c r="F22" s="274"/>
      <c r="G22" s="274"/>
      <c r="H22" s="274"/>
      <c r="I22" s="274"/>
      <c r="J22" s="274"/>
      <c r="K22" s="274"/>
      <c r="L22" s="274"/>
      <c r="M22" s="274"/>
      <c r="N22" s="274"/>
      <c r="O22" s="274"/>
      <c r="P22" s="274"/>
      <c r="Q22" s="204">
        <f t="shared" ref="Q22:Q30" si="3">SUM(E22:P22)</f>
        <v>0</v>
      </c>
      <c r="R22" s="205">
        <v>0</v>
      </c>
      <c r="T22" s="206"/>
      <c r="U22" s="250"/>
      <c r="V22" s="293"/>
      <c r="W22" s="293"/>
      <c r="X22" s="285"/>
      <c r="Y22" s="286"/>
      <c r="Z22" s="286"/>
      <c r="AA22" s="286"/>
      <c r="AB22" s="286"/>
      <c r="AC22" s="286"/>
      <c r="AD22" s="286"/>
      <c r="AE22" s="285"/>
      <c r="AF22" s="285"/>
      <c r="AG22" s="285"/>
      <c r="AH22" s="285"/>
      <c r="AI22" s="285"/>
      <c r="AJ22" s="139">
        <f t="shared" si="2"/>
        <v>0</v>
      </c>
      <c r="AK22" s="639">
        <f>SUM(AJ22:AJ23)</f>
        <v>0</v>
      </c>
      <c r="AM22" s="239"/>
      <c r="AN22" s="197"/>
      <c r="AO22" s="141"/>
      <c r="AP22" s="141"/>
      <c r="AQ22" s="202"/>
      <c r="AR22" s="207"/>
      <c r="AS22" s="207"/>
      <c r="AT22" s="202"/>
      <c r="AU22" s="207"/>
      <c r="AV22" s="207"/>
      <c r="AW22" s="207"/>
      <c r="AX22" s="202"/>
      <c r="AY22" s="202"/>
      <c r="AZ22" s="202"/>
      <c r="BA22" s="202"/>
      <c r="BB22" s="202"/>
      <c r="BC22" s="203">
        <f t="shared" si="1"/>
        <v>0</v>
      </c>
      <c r="BD22" s="634"/>
    </row>
    <row r="23" spans="1:57" ht="15" customHeight="1" thickBot="1">
      <c r="A23" s="239"/>
      <c r="B23" s="254"/>
      <c r="C23" s="408"/>
      <c r="D23" s="274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2">
        <f t="shared" si="3"/>
        <v>0</v>
      </c>
      <c r="R23" s="299">
        <v>0</v>
      </c>
      <c r="T23" s="239"/>
      <c r="U23" s="254"/>
      <c r="V23" s="318"/>
      <c r="W23" s="318"/>
      <c r="X23" s="315"/>
      <c r="Y23" s="314"/>
      <c r="Z23" s="314"/>
      <c r="AA23" s="314"/>
      <c r="AB23" s="314"/>
      <c r="AC23" s="314"/>
      <c r="AD23" s="314"/>
      <c r="AE23" s="315"/>
      <c r="AF23" s="315"/>
      <c r="AG23" s="313"/>
      <c r="AH23" s="313"/>
      <c r="AI23" s="315"/>
      <c r="AJ23" s="203">
        <f t="shared" si="2"/>
        <v>0</v>
      </c>
      <c r="AK23" s="641"/>
      <c r="AM23" s="253"/>
      <c r="AN23" s="250"/>
      <c r="AO23" s="138"/>
      <c r="AP23" s="138"/>
      <c r="AQ23" s="138"/>
      <c r="AR23" s="173"/>
      <c r="AS23" s="173"/>
      <c r="AT23" s="173"/>
      <c r="AU23" s="138"/>
      <c r="AV23" s="173"/>
      <c r="AW23" s="138"/>
      <c r="AX23" s="138"/>
      <c r="AY23" s="138"/>
      <c r="AZ23" s="173"/>
      <c r="BA23" s="173"/>
      <c r="BB23" s="138"/>
      <c r="BC23" s="139">
        <f t="shared" si="1"/>
        <v>0</v>
      </c>
      <c r="BD23" s="643">
        <f>SUM(BC23:BC25)</f>
        <v>0</v>
      </c>
    </row>
    <row r="24" spans="1:57" ht="15" customHeight="1" thickBot="1">
      <c r="A24" s="239"/>
      <c r="B24" s="254"/>
      <c r="C24" s="408"/>
      <c r="D24" s="274"/>
      <c r="E24" s="274"/>
      <c r="F24" s="274"/>
      <c r="G24" s="274"/>
      <c r="H24" s="274"/>
      <c r="I24" s="274"/>
      <c r="J24" s="274"/>
      <c r="K24" s="274"/>
      <c r="L24" s="274"/>
      <c r="M24" s="274"/>
      <c r="N24" s="274"/>
      <c r="O24" s="274"/>
      <c r="P24" s="274"/>
      <c r="Q24" s="204">
        <f t="shared" si="3"/>
        <v>0</v>
      </c>
      <c r="R24" s="205">
        <v>0</v>
      </c>
      <c r="T24" s="253"/>
      <c r="U24" s="250"/>
      <c r="V24" s="290"/>
      <c r="W24" s="290"/>
      <c r="X24" s="164"/>
      <c r="Y24" s="168"/>
      <c r="Z24" s="168"/>
      <c r="AA24" s="168"/>
      <c r="AB24" s="168"/>
      <c r="AC24" s="168"/>
      <c r="AD24" s="168"/>
      <c r="AE24" s="164"/>
      <c r="AF24" s="163"/>
      <c r="AG24" s="163"/>
      <c r="AH24" s="164"/>
      <c r="AI24" s="163"/>
      <c r="AJ24" s="136">
        <f t="shared" si="2"/>
        <v>0</v>
      </c>
      <c r="AK24" s="639">
        <f>SUM(AJ24:AJ25)</f>
        <v>0</v>
      </c>
      <c r="AM24" s="247"/>
      <c r="AN24" s="248"/>
      <c r="AO24" s="12"/>
      <c r="AP24" s="12"/>
      <c r="AQ24" s="12"/>
      <c r="AR24" s="12"/>
      <c r="AS24" s="19"/>
      <c r="AT24" s="12"/>
      <c r="AU24" s="19"/>
      <c r="AV24" s="19"/>
      <c r="AW24" s="12"/>
      <c r="AX24" s="19"/>
      <c r="AY24" s="12"/>
      <c r="AZ24" s="12"/>
      <c r="BA24" s="19"/>
      <c r="BB24" s="12"/>
      <c r="BC24" s="136">
        <f t="shared" si="1"/>
        <v>0</v>
      </c>
      <c r="BD24" s="633"/>
    </row>
    <row r="25" spans="1:57" ht="15" customHeight="1" thickBot="1">
      <c r="A25" s="239"/>
      <c r="B25" s="254"/>
      <c r="C25" s="408"/>
      <c r="D25" s="274"/>
      <c r="E25" s="274"/>
      <c r="F25" s="274"/>
      <c r="G25" s="274"/>
      <c r="H25" s="274"/>
      <c r="I25" s="274"/>
      <c r="J25" s="274"/>
      <c r="K25" s="274"/>
      <c r="L25" s="274"/>
      <c r="M25" s="274"/>
      <c r="N25" s="274"/>
      <c r="O25" s="274"/>
      <c r="P25" s="274"/>
      <c r="Q25" s="204">
        <f t="shared" si="3"/>
        <v>0</v>
      </c>
      <c r="R25" s="205">
        <v>0</v>
      </c>
      <c r="T25" s="239"/>
      <c r="U25" s="254"/>
      <c r="V25" s="292"/>
      <c r="W25" s="292"/>
      <c r="X25" s="170"/>
      <c r="Y25" s="169"/>
      <c r="Z25" s="170"/>
      <c r="AA25" s="169"/>
      <c r="AB25" s="169"/>
      <c r="AC25" s="289"/>
      <c r="AD25" s="169"/>
      <c r="AE25" s="169"/>
      <c r="AF25" s="170"/>
      <c r="AG25" s="169"/>
      <c r="AH25" s="170"/>
      <c r="AI25" s="170"/>
      <c r="AJ25" s="350">
        <f t="shared" si="2"/>
        <v>0</v>
      </c>
      <c r="AK25" s="641"/>
      <c r="AM25" s="239"/>
      <c r="AN25" s="254"/>
      <c r="AO25" s="202"/>
      <c r="AP25" s="202"/>
      <c r="AQ25" s="202"/>
      <c r="AR25" s="202"/>
      <c r="AS25" s="202"/>
      <c r="AT25" s="207"/>
      <c r="AU25" s="202"/>
      <c r="AV25" s="202"/>
      <c r="AW25" s="202"/>
      <c r="AX25" s="202"/>
      <c r="AY25" s="202"/>
      <c r="AZ25" s="202"/>
      <c r="BA25" s="202"/>
      <c r="BB25" s="202"/>
      <c r="BC25" s="203">
        <f t="shared" si="1"/>
        <v>0</v>
      </c>
      <c r="BD25" s="634"/>
    </row>
    <row r="26" spans="1:57" ht="16.5" customHeight="1" thickBot="1">
      <c r="A26" s="390"/>
      <c r="B26" s="248"/>
      <c r="C26" s="354"/>
      <c r="D26" s="406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2">
        <f t="shared" si="3"/>
        <v>0</v>
      </c>
      <c r="R26" s="223"/>
      <c r="T26" s="206"/>
      <c r="U26" s="250"/>
      <c r="V26" s="293"/>
      <c r="W26" s="293"/>
      <c r="X26" s="285"/>
      <c r="Y26" s="285"/>
      <c r="Z26" s="285"/>
      <c r="AA26" s="286"/>
      <c r="AB26" s="285"/>
      <c r="AC26" s="287"/>
      <c r="AD26" s="287"/>
      <c r="AE26" s="285"/>
      <c r="AF26" s="287"/>
      <c r="AG26" s="285"/>
      <c r="AH26" s="285"/>
      <c r="AI26" s="285"/>
      <c r="AJ26" s="139">
        <f t="shared" si="2"/>
        <v>0</v>
      </c>
      <c r="AK26" s="639">
        <f>SUM(AJ26:AJ30)</f>
        <v>0</v>
      </c>
      <c r="AM26" s="247"/>
      <c r="AN26" s="248"/>
      <c r="AO26" s="12"/>
      <c r="AP26" s="12"/>
      <c r="AQ26" s="12"/>
      <c r="AR26" s="19"/>
      <c r="AS26" s="12"/>
      <c r="AT26" s="12"/>
      <c r="AU26" s="12"/>
      <c r="AV26" s="19"/>
      <c r="AW26" s="19"/>
      <c r="AX26" s="19"/>
      <c r="AY26" s="19"/>
      <c r="AZ26" s="19"/>
      <c r="BA26" s="19"/>
      <c r="BB26" s="12"/>
      <c r="BC26" s="136">
        <f t="shared" si="1"/>
        <v>0</v>
      </c>
      <c r="BD26" s="633">
        <f>SUM(BC26:BC30)</f>
        <v>0</v>
      </c>
    </row>
    <row r="27" spans="1:57" ht="15" customHeight="1">
      <c r="A27" s="247"/>
      <c r="B27" s="248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2">
        <f t="shared" si="3"/>
        <v>0</v>
      </c>
      <c r="R27" s="223"/>
      <c r="S27" s="200"/>
      <c r="T27" s="247"/>
      <c r="U27" s="248"/>
      <c r="V27" s="354"/>
      <c r="W27" s="354"/>
      <c r="X27" s="214"/>
      <c r="Y27" s="214"/>
      <c r="Z27" s="214"/>
      <c r="AA27" s="48"/>
      <c r="AB27" s="48"/>
      <c r="AC27" s="49"/>
      <c r="AD27" s="48"/>
      <c r="AE27" s="48"/>
      <c r="AF27" s="214"/>
      <c r="AG27" s="48"/>
      <c r="AH27" s="214"/>
      <c r="AI27" s="214"/>
      <c r="AJ27" s="32">
        <f t="shared" si="2"/>
        <v>0</v>
      </c>
      <c r="AK27" s="640"/>
      <c r="AM27" s="247"/>
      <c r="AN27" s="248"/>
      <c r="AO27" s="31"/>
      <c r="AP27" s="31"/>
      <c r="AQ27" s="19"/>
      <c r="AR27" s="12"/>
      <c r="AS27" s="12"/>
      <c r="AT27" s="12"/>
      <c r="AU27" s="12"/>
      <c r="AV27" s="19"/>
      <c r="AW27" s="19"/>
      <c r="AX27" s="19"/>
      <c r="AY27" s="19"/>
      <c r="AZ27" s="19"/>
      <c r="BA27" s="19"/>
      <c r="BB27" s="12"/>
      <c r="BC27" s="136">
        <f t="shared" si="1"/>
        <v>0</v>
      </c>
      <c r="BD27" s="633"/>
    </row>
    <row r="28" spans="1:57" ht="15" customHeight="1" thickBot="1">
      <c r="A28" s="247"/>
      <c r="B28" s="248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2">
        <f t="shared" si="3"/>
        <v>0</v>
      </c>
      <c r="R28" s="223"/>
      <c r="T28" s="239"/>
      <c r="U28" s="248"/>
      <c r="V28" s="354"/>
      <c r="W28" s="354"/>
      <c r="X28" s="214"/>
      <c r="Y28" s="49"/>
      <c r="Z28" s="214"/>
      <c r="AA28" s="48"/>
      <c r="AB28" s="48"/>
      <c r="AC28" s="214"/>
      <c r="AD28" s="48"/>
      <c r="AE28" s="214"/>
      <c r="AF28" s="214"/>
      <c r="AG28" s="214"/>
      <c r="AH28" s="214"/>
      <c r="AI28" s="214"/>
      <c r="AJ28" s="32">
        <f t="shared" si="2"/>
        <v>0</v>
      </c>
      <c r="AK28" s="640"/>
      <c r="AM28" s="247"/>
      <c r="AN28" s="248"/>
      <c r="AO28" s="31"/>
      <c r="AP28" s="31"/>
      <c r="AQ28" s="31"/>
      <c r="AR28" s="18"/>
      <c r="AS28" s="31"/>
      <c r="AT28" s="18"/>
      <c r="AU28" s="18"/>
      <c r="AV28" s="31"/>
      <c r="AW28" s="31"/>
      <c r="AX28" s="31"/>
      <c r="AY28" s="31"/>
      <c r="AZ28" s="31"/>
      <c r="BA28" s="31"/>
      <c r="BB28" s="31"/>
      <c r="BC28" s="32">
        <f t="shared" si="1"/>
        <v>0</v>
      </c>
      <c r="BD28" s="633"/>
    </row>
    <row r="29" spans="1:57" ht="15" customHeight="1">
      <c r="A29" s="247"/>
      <c r="B29" s="248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36">
        <f t="shared" si="3"/>
        <v>0</v>
      </c>
      <c r="R29" s="223"/>
      <c r="T29" s="247"/>
      <c r="U29" s="248"/>
      <c r="V29" s="290"/>
      <c r="W29" s="290"/>
      <c r="X29" s="163"/>
      <c r="Y29" s="164"/>
      <c r="Z29" s="164"/>
      <c r="AA29" s="163"/>
      <c r="AB29" s="164"/>
      <c r="AC29" s="163"/>
      <c r="AD29" s="163"/>
      <c r="AE29" s="163"/>
      <c r="AF29" s="163"/>
      <c r="AG29" s="163"/>
      <c r="AH29" s="163"/>
      <c r="AI29" s="163"/>
      <c r="AJ29" s="136">
        <f t="shared" si="2"/>
        <v>0</v>
      </c>
      <c r="AK29" s="640"/>
      <c r="AM29" s="247"/>
      <c r="AN29" s="248"/>
      <c r="AO29" s="31"/>
      <c r="AP29" s="31"/>
      <c r="AQ29" s="31"/>
      <c r="AR29" s="31"/>
      <c r="AS29" s="31"/>
      <c r="AT29" s="31"/>
      <c r="AU29" s="18"/>
      <c r="AV29" s="31"/>
      <c r="AW29" s="31"/>
      <c r="AX29" s="31"/>
      <c r="AY29" s="31"/>
      <c r="AZ29" s="31"/>
      <c r="BA29" s="31"/>
      <c r="BB29" s="31"/>
      <c r="BC29" s="32">
        <f t="shared" si="1"/>
        <v>0</v>
      </c>
      <c r="BD29" s="633"/>
    </row>
    <row r="30" spans="1:57" ht="15" customHeight="1" thickBot="1">
      <c r="A30" s="239"/>
      <c r="B30" s="254"/>
      <c r="C30" s="251"/>
      <c r="D30" s="251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3">
        <f t="shared" si="3"/>
        <v>0</v>
      </c>
      <c r="R30" s="226"/>
      <c r="T30" s="239"/>
      <c r="U30" s="254"/>
      <c r="V30" s="292"/>
      <c r="W30" s="292"/>
      <c r="X30" s="170"/>
      <c r="Y30" s="169"/>
      <c r="Z30" s="169"/>
      <c r="AA30" s="289"/>
      <c r="AB30" s="170"/>
      <c r="AC30" s="169"/>
      <c r="AD30" s="170"/>
      <c r="AE30" s="170"/>
      <c r="AF30" s="170"/>
      <c r="AG30" s="169"/>
      <c r="AH30" s="169"/>
      <c r="AI30" s="170"/>
      <c r="AJ30" s="142">
        <f t="shared" si="2"/>
        <v>0</v>
      </c>
      <c r="AK30" s="641"/>
      <c r="AM30" s="239"/>
      <c r="AN30" s="254"/>
      <c r="AO30" s="141"/>
      <c r="AP30" s="141"/>
      <c r="AQ30" s="202"/>
      <c r="AR30" s="202"/>
      <c r="AS30" s="202"/>
      <c r="AT30" s="207"/>
      <c r="AU30" s="207"/>
      <c r="AV30" s="202"/>
      <c r="AW30" s="202"/>
      <c r="AX30" s="202"/>
      <c r="AY30" s="202"/>
      <c r="AZ30" s="202"/>
      <c r="BA30" s="202"/>
      <c r="BB30" s="202"/>
      <c r="BC30" s="203">
        <f t="shared" si="1"/>
        <v>0</v>
      </c>
      <c r="BD30" s="634"/>
    </row>
    <row r="31" spans="1:57" ht="15" customHeight="1" thickBot="1">
      <c r="A31" s="253"/>
      <c r="B31" s="250"/>
      <c r="C31" s="138"/>
      <c r="D31" s="137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9">
        <f t="shared" ref="Q31:Q57" si="4">SUM(E31:P31)</f>
        <v>0</v>
      </c>
      <c r="R31" s="639">
        <f>SUM(Q31:Q35)</f>
        <v>0</v>
      </c>
      <c r="T31" s="206"/>
      <c r="U31" s="273"/>
      <c r="V31" s="291"/>
      <c r="W31" s="291"/>
      <c r="X31" s="276"/>
      <c r="Y31" s="276"/>
      <c r="Z31" s="275"/>
      <c r="AA31" s="275"/>
      <c r="AB31" s="276"/>
      <c r="AC31" s="277"/>
      <c r="AD31" s="276"/>
      <c r="AE31" s="276"/>
      <c r="AF31" s="276"/>
      <c r="AG31" s="277"/>
      <c r="AH31" s="277"/>
      <c r="AI31" s="276"/>
      <c r="AJ31" s="204">
        <f t="shared" si="2"/>
        <v>0</v>
      </c>
      <c r="AK31" s="205"/>
      <c r="AM31" s="253"/>
      <c r="AN31" s="250"/>
      <c r="AO31" s="138"/>
      <c r="AP31" s="138"/>
      <c r="AQ31" s="138"/>
      <c r="AR31" s="138"/>
      <c r="AS31" s="138"/>
      <c r="AT31" s="138"/>
      <c r="AU31" s="173"/>
      <c r="AV31" s="138"/>
      <c r="AW31" s="138"/>
      <c r="AX31" s="138"/>
      <c r="AY31" s="138"/>
      <c r="AZ31" s="173"/>
      <c r="BA31" s="138"/>
      <c r="BB31" s="173"/>
      <c r="BC31" s="139">
        <f t="shared" ref="BC31:BC38" si="5">SUM(AQ31:BB31)</f>
        <v>0</v>
      </c>
      <c r="BD31" s="643">
        <f>SUM(BC31:BC34)</f>
        <v>0</v>
      </c>
      <c r="BE31" s="201"/>
    </row>
    <row r="32" spans="1:57" ht="15" customHeight="1" thickBot="1">
      <c r="A32" s="247"/>
      <c r="B32" s="248"/>
      <c r="C32" s="12"/>
      <c r="D32" s="13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36">
        <f t="shared" si="4"/>
        <v>0</v>
      </c>
      <c r="R32" s="640"/>
      <c r="T32" s="206"/>
      <c r="U32" s="250"/>
      <c r="V32" s="293"/>
      <c r="W32" s="293"/>
      <c r="X32" s="285"/>
      <c r="Y32" s="285"/>
      <c r="Z32" s="286"/>
      <c r="AA32" s="286"/>
      <c r="AB32" s="286"/>
      <c r="AC32" s="287"/>
      <c r="AD32" s="285"/>
      <c r="AE32" s="285"/>
      <c r="AF32" s="285"/>
      <c r="AG32" s="287"/>
      <c r="AH32" s="287"/>
      <c r="AI32" s="285"/>
      <c r="AJ32" s="139">
        <f t="shared" si="2"/>
        <v>0</v>
      </c>
      <c r="AK32" s="639"/>
      <c r="AL32" s="194"/>
      <c r="AM32" s="247"/>
      <c r="AN32" s="248"/>
      <c r="AO32" s="12"/>
      <c r="AP32" s="12"/>
      <c r="AQ32" s="12"/>
      <c r="AR32" s="12"/>
      <c r="AS32" s="19"/>
      <c r="AT32" s="19"/>
      <c r="AU32" s="19"/>
      <c r="AV32" s="19"/>
      <c r="AW32" s="12"/>
      <c r="AX32" s="12"/>
      <c r="AY32" s="12"/>
      <c r="AZ32" s="12"/>
      <c r="BA32" s="12"/>
      <c r="BB32" s="12"/>
      <c r="BC32" s="136">
        <f t="shared" si="5"/>
        <v>0</v>
      </c>
      <c r="BD32" s="633"/>
    </row>
    <row r="33" spans="1:56" ht="15" customHeight="1" thickBot="1">
      <c r="A33" s="247"/>
      <c r="B33" s="248"/>
      <c r="C33" s="13"/>
      <c r="D33" s="13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2">
        <f t="shared" si="4"/>
        <v>0</v>
      </c>
      <c r="R33" s="640"/>
      <c r="T33" s="239"/>
      <c r="U33" s="254"/>
      <c r="V33" s="202"/>
      <c r="W33" s="202"/>
      <c r="X33" s="315"/>
      <c r="Y33" s="355"/>
      <c r="Z33" s="313"/>
      <c r="AA33" s="314"/>
      <c r="AB33" s="315"/>
      <c r="AC33" s="315"/>
      <c r="AD33" s="315"/>
      <c r="AE33" s="315"/>
      <c r="AF33" s="315"/>
      <c r="AG33" s="315"/>
      <c r="AH33" s="315"/>
      <c r="AI33" s="315"/>
      <c r="AJ33" s="203">
        <f>SUM(X33:AI33)</f>
        <v>0</v>
      </c>
      <c r="AK33" s="641"/>
      <c r="AM33" s="247"/>
      <c r="AN33" s="248"/>
      <c r="AO33" s="12"/>
      <c r="AP33" s="12"/>
      <c r="AQ33" s="12"/>
      <c r="AR33" s="12"/>
      <c r="AS33" s="12"/>
      <c r="AT33" s="19"/>
      <c r="AU33" s="12"/>
      <c r="AV33" s="12"/>
      <c r="AW33" s="19"/>
      <c r="AX33" s="12"/>
      <c r="AY33" s="12"/>
      <c r="AZ33" s="12"/>
      <c r="BA33" s="12"/>
      <c r="BB33" s="12"/>
      <c r="BC33" s="136">
        <f t="shared" si="5"/>
        <v>0</v>
      </c>
      <c r="BD33" s="633"/>
    </row>
    <row r="34" spans="1:56" ht="15" customHeight="1" thickBot="1">
      <c r="A34" s="247"/>
      <c r="B34" s="248"/>
      <c r="C34" s="31"/>
      <c r="D34" s="33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36">
        <f t="shared" si="4"/>
        <v>0</v>
      </c>
      <c r="R34" s="640"/>
      <c r="T34" s="206"/>
      <c r="U34" s="273"/>
      <c r="V34" s="274"/>
      <c r="W34" s="274"/>
      <c r="X34" s="276"/>
      <c r="Y34" s="357"/>
      <c r="Z34" s="277"/>
      <c r="AA34" s="275"/>
      <c r="AB34" s="276"/>
      <c r="AC34" s="275"/>
      <c r="AD34" s="276"/>
      <c r="AE34" s="276"/>
      <c r="AF34" s="276"/>
      <c r="AG34" s="276"/>
      <c r="AH34" s="276"/>
      <c r="AI34" s="276"/>
      <c r="AJ34" s="204">
        <f t="shared" si="2"/>
        <v>0</v>
      </c>
      <c r="AK34" s="205"/>
      <c r="AM34" s="239"/>
      <c r="AN34" s="254"/>
      <c r="AO34" s="466"/>
      <c r="AP34" s="466"/>
      <c r="AQ34" s="202"/>
      <c r="AR34" s="202"/>
      <c r="AS34" s="202"/>
      <c r="AT34" s="207"/>
      <c r="AU34" s="202"/>
      <c r="AV34" s="202"/>
      <c r="AW34" s="207"/>
      <c r="AX34" s="202"/>
      <c r="AY34" s="202"/>
      <c r="AZ34" s="202"/>
      <c r="BA34" s="202"/>
      <c r="BB34" s="202"/>
      <c r="BC34" s="203">
        <f t="shared" si="5"/>
        <v>0</v>
      </c>
      <c r="BD34" s="634"/>
    </row>
    <row r="35" spans="1:56" ht="15" customHeight="1" thickBot="1">
      <c r="A35" s="239"/>
      <c r="B35" s="254"/>
      <c r="C35" s="202"/>
      <c r="D35" s="202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2">
        <f t="shared" si="4"/>
        <v>0</v>
      </c>
      <c r="R35" s="641"/>
      <c r="T35" s="206"/>
      <c r="U35" s="273"/>
      <c r="V35" s="274"/>
      <c r="W35" s="274"/>
      <c r="X35" s="276"/>
      <c r="Y35" s="275"/>
      <c r="Z35" s="277"/>
      <c r="AA35" s="275"/>
      <c r="AB35" s="275"/>
      <c r="AC35" s="275"/>
      <c r="AD35" s="276"/>
      <c r="AE35" s="276"/>
      <c r="AF35" s="276"/>
      <c r="AG35" s="276"/>
      <c r="AH35" s="276"/>
      <c r="AI35" s="276"/>
      <c r="AJ35" s="204">
        <f>SUM(X35:AI35)</f>
        <v>0</v>
      </c>
      <c r="AK35" s="205"/>
      <c r="AM35" s="247"/>
      <c r="AN35" s="248"/>
      <c r="AO35" s="280"/>
      <c r="AP35" s="236"/>
      <c r="AQ35" s="12"/>
      <c r="AR35" s="12"/>
      <c r="AS35" s="12"/>
      <c r="AT35" s="19"/>
      <c r="AU35" s="12"/>
      <c r="AV35" s="12"/>
      <c r="AW35" s="19"/>
      <c r="AX35" s="12"/>
      <c r="AY35" s="12"/>
      <c r="AZ35" s="12"/>
      <c r="BA35" s="12"/>
      <c r="BB35" s="12"/>
      <c r="BC35" s="136">
        <f t="shared" si="5"/>
        <v>0</v>
      </c>
      <c r="BD35" s="432"/>
    </row>
    <row r="36" spans="1:56" ht="15" customHeight="1" thickBot="1">
      <c r="A36" s="390"/>
      <c r="B36" s="248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234">
        <f t="shared" si="4"/>
        <v>0</v>
      </c>
      <c r="R36" s="223"/>
      <c r="T36" s="206"/>
      <c r="U36" s="273"/>
      <c r="V36" s="274"/>
      <c r="W36" s="274"/>
      <c r="X36" s="276"/>
      <c r="Y36" s="275"/>
      <c r="Z36" s="277"/>
      <c r="AA36" s="275"/>
      <c r="AB36" s="275"/>
      <c r="AC36" s="275"/>
      <c r="AD36" s="276"/>
      <c r="AE36" s="276"/>
      <c r="AF36" s="276"/>
      <c r="AG36" s="276"/>
      <c r="AH36" s="276"/>
      <c r="AI36" s="276"/>
      <c r="AJ36" s="204">
        <f t="shared" si="2"/>
        <v>0</v>
      </c>
      <c r="AK36" s="205"/>
      <c r="AM36" s="247"/>
      <c r="AN36" s="195"/>
      <c r="AO36" s="280"/>
      <c r="AP36" s="280"/>
      <c r="AQ36" s="12"/>
      <c r="AR36" s="12"/>
      <c r="AS36" s="12"/>
      <c r="AT36" s="19"/>
      <c r="AU36" s="12"/>
      <c r="AV36" s="12"/>
      <c r="AW36" s="19"/>
      <c r="AX36" s="12"/>
      <c r="AY36" s="12"/>
      <c r="AZ36" s="12"/>
      <c r="BA36" s="12"/>
      <c r="BB36" s="12"/>
      <c r="BC36" s="234">
        <f t="shared" si="5"/>
        <v>0</v>
      </c>
      <c r="BD36" s="432"/>
    </row>
    <row r="37" spans="1:56" ht="15" customHeight="1" thickBot="1">
      <c r="A37" s="247"/>
      <c r="B37" s="248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6">
        <f t="shared" si="4"/>
        <v>0</v>
      </c>
      <c r="R37" s="223"/>
      <c r="T37" s="206"/>
      <c r="U37" s="273"/>
      <c r="V37" s="274"/>
      <c r="W37" s="291"/>
      <c r="X37" s="276"/>
      <c r="Y37" s="275"/>
      <c r="Z37" s="277"/>
      <c r="AA37" s="275"/>
      <c r="AB37" s="277"/>
      <c r="AC37" s="275"/>
      <c r="AD37" s="276"/>
      <c r="AE37" s="276"/>
      <c r="AF37" s="276"/>
      <c r="AG37" s="276"/>
      <c r="AH37" s="276"/>
      <c r="AI37" s="276"/>
      <c r="AJ37" s="204">
        <f t="shared" si="2"/>
        <v>0</v>
      </c>
      <c r="AK37" s="205"/>
      <c r="AM37" s="247"/>
      <c r="AN37" s="195"/>
      <c r="AO37" s="12"/>
      <c r="AP37" s="12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216">
        <f t="shared" si="5"/>
        <v>0</v>
      </c>
      <c r="BD37" s="432"/>
    </row>
    <row r="38" spans="1:56" ht="15" customHeight="1" thickBot="1">
      <c r="A38" s="247"/>
      <c r="B38" s="195"/>
      <c r="C38" s="12"/>
      <c r="D38" s="12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2">
        <f t="shared" si="4"/>
        <v>0</v>
      </c>
      <c r="R38" s="223"/>
      <c r="T38" s="253"/>
      <c r="U38" s="250"/>
      <c r="V38" s="138"/>
      <c r="W38" s="138"/>
      <c r="X38" s="285"/>
      <c r="Y38" s="285"/>
      <c r="Z38" s="285"/>
      <c r="AA38" s="286"/>
      <c r="AB38" s="287"/>
      <c r="AC38" s="287"/>
      <c r="AD38" s="285"/>
      <c r="AE38" s="285"/>
      <c r="AF38" s="285"/>
      <c r="AG38" s="285"/>
      <c r="AH38" s="285"/>
      <c r="AI38" s="285"/>
      <c r="AJ38" s="139">
        <f t="shared" si="2"/>
        <v>0</v>
      </c>
      <c r="AK38" s="639"/>
      <c r="AM38" s="239"/>
      <c r="AN38" s="197"/>
      <c r="AO38" s="202"/>
      <c r="AP38" s="202"/>
      <c r="AQ38" s="207"/>
      <c r="AR38" s="207"/>
      <c r="AS38" s="207"/>
      <c r="AT38" s="207"/>
      <c r="AU38" s="207"/>
      <c r="AV38" s="207"/>
      <c r="AW38" s="207"/>
      <c r="AX38" s="207"/>
      <c r="AY38" s="207"/>
      <c r="AZ38" s="207"/>
      <c r="BA38" s="207"/>
      <c r="BB38" s="207"/>
      <c r="BC38" s="242">
        <f t="shared" si="5"/>
        <v>0</v>
      </c>
      <c r="BD38" s="433"/>
    </row>
    <row r="39" spans="1:56" ht="15" thickBot="1">
      <c r="A39" s="239"/>
      <c r="B39" s="254"/>
      <c r="C39" s="202"/>
      <c r="D39" s="202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  <c r="Q39" s="203">
        <f t="shared" si="4"/>
        <v>0</v>
      </c>
      <c r="R39" s="226"/>
      <c r="T39" s="239"/>
      <c r="U39" s="254"/>
      <c r="V39" s="274"/>
      <c r="W39" s="202"/>
      <c r="X39" s="315"/>
      <c r="Y39" s="314"/>
      <c r="Z39" s="314"/>
      <c r="AA39" s="314"/>
      <c r="AB39" s="314"/>
      <c r="AC39" s="314"/>
      <c r="AD39" s="314"/>
      <c r="AE39" s="315"/>
      <c r="AF39" s="313"/>
      <c r="AG39" s="315"/>
      <c r="AH39" s="313"/>
      <c r="AI39" s="315"/>
      <c r="AJ39" s="203">
        <f t="shared" si="2"/>
        <v>0</v>
      </c>
      <c r="AK39" s="641"/>
      <c r="AM39" s="247"/>
      <c r="AN39" s="195"/>
      <c r="AO39" s="12"/>
      <c r="AP39" s="12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36">
        <f t="shared" ref="BC39:BC84" si="6">SUM(AQ39:BB39)</f>
        <v>0</v>
      </c>
      <c r="BD39" s="643"/>
    </row>
    <row r="40" spans="1:56" ht="15" thickBot="1">
      <c r="A40" s="196"/>
      <c r="B40" s="248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36">
        <f t="shared" si="4"/>
        <v>0</v>
      </c>
      <c r="R40" s="223"/>
      <c r="T40" s="239"/>
      <c r="U40" s="197"/>
      <c r="V40" s="202"/>
      <c r="W40" s="202"/>
      <c r="X40" s="315"/>
      <c r="Y40" s="313"/>
      <c r="Z40" s="314"/>
      <c r="AA40" s="314"/>
      <c r="AB40" s="313"/>
      <c r="AC40" s="313"/>
      <c r="AD40" s="313"/>
      <c r="AE40" s="315"/>
      <c r="AF40" s="315"/>
      <c r="AG40" s="315"/>
      <c r="AH40" s="315"/>
      <c r="AI40" s="315"/>
      <c r="AJ40" s="203">
        <f t="shared" si="2"/>
        <v>0</v>
      </c>
      <c r="AK40" s="226"/>
      <c r="AM40" s="247"/>
      <c r="AN40" s="195"/>
      <c r="AO40" s="280"/>
      <c r="AP40" s="12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216">
        <f t="shared" si="6"/>
        <v>0</v>
      </c>
      <c r="BD40" s="633"/>
    </row>
    <row r="41" spans="1:56" ht="15" thickBot="1">
      <c r="A41" s="239"/>
      <c r="B41" s="254"/>
      <c r="C41" s="141"/>
      <c r="D41" s="141"/>
      <c r="E41" s="141"/>
      <c r="F41" s="141"/>
      <c r="G41" s="140"/>
      <c r="H41" s="141"/>
      <c r="I41" s="141"/>
      <c r="J41" s="141"/>
      <c r="K41" s="141"/>
      <c r="L41" s="141"/>
      <c r="M41" s="141"/>
      <c r="N41" s="141"/>
      <c r="O41" s="141"/>
      <c r="P41" s="141"/>
      <c r="Q41" s="142">
        <f t="shared" si="4"/>
        <v>0</v>
      </c>
      <c r="R41" s="226"/>
      <c r="T41" s="253"/>
      <c r="U41" s="250"/>
      <c r="V41" s="138"/>
      <c r="W41" s="12"/>
      <c r="X41" s="168"/>
      <c r="Y41" s="164"/>
      <c r="Z41" s="168"/>
      <c r="AA41" s="168"/>
      <c r="AB41" s="168"/>
      <c r="AC41" s="164"/>
      <c r="AD41" s="163"/>
      <c r="AE41" s="163"/>
      <c r="AF41" s="163"/>
      <c r="AG41" s="163"/>
      <c r="AH41" s="163"/>
      <c r="AI41" s="163"/>
      <c r="AJ41" s="136">
        <f t="shared" si="2"/>
        <v>0</v>
      </c>
      <c r="AK41" s="639"/>
      <c r="AM41" s="247"/>
      <c r="AN41" s="195"/>
      <c r="AO41" s="12"/>
      <c r="AP41" s="12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216">
        <f t="shared" si="6"/>
        <v>0</v>
      </c>
      <c r="BD41" s="633"/>
    </row>
    <row r="42" spans="1:56" ht="15" thickBot="1">
      <c r="A42" s="206"/>
      <c r="B42" s="273"/>
      <c r="C42" s="274"/>
      <c r="D42" s="274"/>
      <c r="E42" s="274"/>
      <c r="F42" s="274"/>
      <c r="G42" s="370"/>
      <c r="H42" s="274"/>
      <c r="I42" s="274"/>
      <c r="J42" s="274"/>
      <c r="K42" s="274"/>
      <c r="L42" s="274"/>
      <c r="M42" s="274"/>
      <c r="N42" s="274"/>
      <c r="O42" s="274"/>
      <c r="P42" s="274"/>
      <c r="Q42" s="204">
        <f t="shared" si="4"/>
        <v>0</v>
      </c>
      <c r="R42" s="205">
        <v>0</v>
      </c>
      <c r="T42" s="239"/>
      <c r="U42" s="254"/>
      <c r="V42" s="141"/>
      <c r="W42" s="141"/>
      <c r="X42" s="170"/>
      <c r="Y42" s="169"/>
      <c r="Z42" s="289"/>
      <c r="AA42" s="289"/>
      <c r="AB42" s="289"/>
      <c r="AC42" s="289"/>
      <c r="AD42" s="169"/>
      <c r="AE42" s="170"/>
      <c r="AF42" s="170"/>
      <c r="AG42" s="170"/>
      <c r="AH42" s="170"/>
      <c r="AI42" s="170"/>
      <c r="AJ42" s="142">
        <f t="shared" si="2"/>
        <v>0</v>
      </c>
      <c r="AK42" s="641"/>
      <c r="AM42" s="247"/>
      <c r="AN42" s="195"/>
      <c r="AO42" s="12"/>
      <c r="AP42" s="12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216">
        <f t="shared" si="6"/>
        <v>0</v>
      </c>
      <c r="BD42" s="633"/>
    </row>
    <row r="43" spans="1:56" ht="15" thickBot="1">
      <c r="A43" s="206"/>
      <c r="B43" s="273"/>
      <c r="C43" s="274"/>
      <c r="D43" s="274"/>
      <c r="E43" s="274"/>
      <c r="F43" s="274"/>
      <c r="G43" s="274"/>
      <c r="H43" s="274"/>
      <c r="I43" s="274"/>
      <c r="J43" s="274"/>
      <c r="K43" s="274"/>
      <c r="L43" s="274"/>
      <c r="M43" s="274"/>
      <c r="N43" s="274"/>
      <c r="O43" s="274"/>
      <c r="P43" s="274"/>
      <c r="Q43" s="204">
        <f t="shared" si="4"/>
        <v>0</v>
      </c>
      <c r="R43" s="205">
        <v>0</v>
      </c>
      <c r="T43" s="206"/>
      <c r="U43" s="273"/>
      <c r="V43" s="274"/>
      <c r="W43" s="274"/>
      <c r="X43" s="276"/>
      <c r="Y43" s="276"/>
      <c r="Z43" s="277"/>
      <c r="AA43" s="276"/>
      <c r="AB43" s="277"/>
      <c r="AC43" s="277"/>
      <c r="AD43" s="276"/>
      <c r="AE43" s="276"/>
      <c r="AF43" s="276"/>
      <c r="AG43" s="277"/>
      <c r="AH43" s="276"/>
      <c r="AI43" s="276"/>
      <c r="AJ43" s="204">
        <f t="shared" si="2"/>
        <v>0</v>
      </c>
      <c r="AK43" s="205"/>
      <c r="AM43" s="239"/>
      <c r="AN43" s="254"/>
      <c r="AO43" s="141"/>
      <c r="AP43" s="141"/>
      <c r="AQ43" s="171"/>
      <c r="AR43" s="171"/>
      <c r="AS43" s="171"/>
      <c r="AT43" s="171"/>
      <c r="AU43" s="171"/>
      <c r="AV43" s="171"/>
      <c r="AW43" s="171"/>
      <c r="AX43" s="171"/>
      <c r="AY43" s="171"/>
      <c r="AZ43" s="171"/>
      <c r="BA43" s="171"/>
      <c r="BB43" s="171"/>
      <c r="BC43" s="257">
        <f t="shared" si="6"/>
        <v>0</v>
      </c>
      <c r="BD43" s="634"/>
    </row>
    <row r="44" spans="1:56" ht="15" thickBot="1">
      <c r="A44" s="206"/>
      <c r="B44" s="250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36">
        <f t="shared" si="4"/>
        <v>0</v>
      </c>
      <c r="R44" s="639">
        <f>SUM(Q44:Q45)</f>
        <v>0</v>
      </c>
      <c r="T44" s="298"/>
      <c r="U44" s="273"/>
      <c r="V44" s="274"/>
      <c r="W44" s="274"/>
      <c r="X44" s="276"/>
      <c r="Y44" s="277"/>
      <c r="Z44" s="275"/>
      <c r="AA44" s="275"/>
      <c r="AB44" s="275"/>
      <c r="AC44" s="277"/>
      <c r="AD44" s="276"/>
      <c r="AE44" s="276"/>
      <c r="AF44" s="276"/>
      <c r="AG44" s="276"/>
      <c r="AH44" s="276"/>
      <c r="AI44" s="276"/>
      <c r="AJ44" s="204">
        <f t="shared" si="2"/>
        <v>0</v>
      </c>
      <c r="AK44" s="205"/>
      <c r="AM44" s="247"/>
      <c r="AN44" s="248"/>
      <c r="AO44" s="477"/>
      <c r="AP44" s="478"/>
      <c r="AQ44" s="173"/>
      <c r="AR44" s="173"/>
      <c r="AS44" s="173"/>
      <c r="AT44" s="173"/>
      <c r="AU44" s="173"/>
      <c r="AV44" s="173"/>
      <c r="AW44" s="173"/>
      <c r="AX44" s="173"/>
      <c r="AY44" s="173"/>
      <c r="AZ44" s="173"/>
      <c r="BA44" s="173"/>
      <c r="BB44" s="138"/>
      <c r="BC44" s="479">
        <f t="shared" si="6"/>
        <v>0</v>
      </c>
      <c r="BD44" s="643"/>
    </row>
    <row r="45" spans="1:56" ht="15" thickBot="1">
      <c r="A45" s="239"/>
      <c r="B45" s="254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2">
        <f t="shared" si="4"/>
        <v>0</v>
      </c>
      <c r="R45" s="641"/>
      <c r="T45" s="300"/>
      <c r="U45" s="250"/>
      <c r="V45" s="138"/>
      <c r="W45" s="12"/>
      <c r="X45" s="163"/>
      <c r="Y45" s="164"/>
      <c r="Z45" s="168"/>
      <c r="AA45" s="168"/>
      <c r="AB45" s="163"/>
      <c r="AC45" s="168"/>
      <c r="AD45" s="163"/>
      <c r="AE45" s="163"/>
      <c r="AF45" s="163"/>
      <c r="AG45" s="163"/>
      <c r="AH45" s="164"/>
      <c r="AI45" s="163"/>
      <c r="AJ45" s="139">
        <f t="shared" si="2"/>
        <v>0</v>
      </c>
      <c r="AK45" s="639"/>
      <c r="AM45" s="247"/>
      <c r="AN45" s="248"/>
      <c r="AO45" s="420"/>
      <c r="AP45" s="421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31"/>
      <c r="BC45" s="238">
        <f t="shared" si="6"/>
        <v>0</v>
      </c>
      <c r="BD45" s="633"/>
    </row>
    <row r="46" spans="1:56" ht="15" thickBot="1">
      <c r="A46" s="206"/>
      <c r="B46" s="273"/>
      <c r="C46" s="274"/>
      <c r="D46" s="274"/>
      <c r="E46" s="274"/>
      <c r="F46" s="274"/>
      <c r="G46" s="274"/>
      <c r="H46" s="274"/>
      <c r="I46" s="274"/>
      <c r="J46" s="274"/>
      <c r="K46" s="274"/>
      <c r="L46" s="274"/>
      <c r="M46" s="274"/>
      <c r="N46" s="274"/>
      <c r="O46" s="274"/>
      <c r="P46" s="274"/>
      <c r="Q46" s="204">
        <f t="shared" si="4"/>
        <v>0</v>
      </c>
      <c r="R46" s="205">
        <v>0</v>
      </c>
      <c r="T46" s="301"/>
      <c r="U46" s="248"/>
      <c r="V46" s="12"/>
      <c r="W46" s="246"/>
      <c r="X46" s="214"/>
      <c r="Y46" s="48"/>
      <c r="Z46" s="48"/>
      <c r="AA46" s="49"/>
      <c r="AB46" s="48"/>
      <c r="AC46" s="48"/>
      <c r="AD46" s="214"/>
      <c r="AE46" s="214"/>
      <c r="AF46" s="214"/>
      <c r="AG46" s="214"/>
      <c r="AH46" s="214"/>
      <c r="AI46" s="214"/>
      <c r="AJ46" s="136">
        <f t="shared" si="2"/>
        <v>0</v>
      </c>
      <c r="AK46" s="640"/>
      <c r="AM46" s="247"/>
      <c r="AN46" s="248"/>
      <c r="AO46" s="12"/>
      <c r="AP46" s="12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2"/>
      <c r="BC46" s="216">
        <f t="shared" si="6"/>
        <v>0</v>
      </c>
      <c r="BD46" s="633"/>
    </row>
    <row r="47" spans="1:56" ht="15" thickBot="1">
      <c r="A47" s="253"/>
      <c r="B47" s="250"/>
      <c r="C47" s="12"/>
      <c r="D47" s="13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36">
        <f t="shared" si="4"/>
        <v>0</v>
      </c>
      <c r="R47" s="639">
        <f>SUM(Q47:Q54)</f>
        <v>0</v>
      </c>
      <c r="T47" s="239"/>
      <c r="U47" s="254"/>
      <c r="V47" s="292"/>
      <c r="W47" s="292"/>
      <c r="X47" s="170"/>
      <c r="Y47" s="170"/>
      <c r="Z47" s="170"/>
      <c r="AA47" s="170"/>
      <c r="AB47" s="170"/>
      <c r="AC47" s="170"/>
      <c r="AD47" s="170"/>
      <c r="AE47" s="170"/>
      <c r="AF47" s="170"/>
      <c r="AG47" s="170"/>
      <c r="AH47" s="170"/>
      <c r="AI47" s="170"/>
      <c r="AJ47" s="203">
        <f>SUM(X47:AI47)</f>
        <v>0</v>
      </c>
      <c r="AK47" s="641"/>
      <c r="AM47" s="247"/>
      <c r="AN47" s="248"/>
      <c r="AO47" s="12"/>
      <c r="AP47" s="12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2"/>
      <c r="BC47" s="216">
        <f t="shared" si="6"/>
        <v>0</v>
      </c>
      <c r="BD47" s="633"/>
    </row>
    <row r="48" spans="1:56" ht="15" thickBot="1">
      <c r="A48" s="247"/>
      <c r="B48" s="195"/>
      <c r="C48" s="31"/>
      <c r="D48" s="33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2">
        <f t="shared" si="4"/>
        <v>0</v>
      </c>
      <c r="R48" s="640"/>
      <c r="T48" s="206"/>
      <c r="U48" s="273"/>
      <c r="V48" s="291"/>
      <c r="W48" s="274"/>
      <c r="X48" s="276"/>
      <c r="Y48" s="277"/>
      <c r="Z48" s="275"/>
      <c r="AA48" s="275"/>
      <c r="AB48" s="275"/>
      <c r="AC48" s="276"/>
      <c r="AD48" s="276"/>
      <c r="AE48" s="276"/>
      <c r="AF48" s="277"/>
      <c r="AG48" s="277"/>
      <c r="AH48" s="277"/>
      <c r="AI48" s="276"/>
      <c r="AJ48" s="204">
        <f t="shared" si="2"/>
        <v>0</v>
      </c>
      <c r="AK48" s="299"/>
      <c r="AM48" s="247"/>
      <c r="AN48" s="248"/>
      <c r="AO48" s="12"/>
      <c r="AP48" s="12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2"/>
      <c r="BC48" s="136">
        <f t="shared" si="6"/>
        <v>0</v>
      </c>
      <c r="BD48" s="649"/>
    </row>
    <row r="49" spans="1:56" ht="15" thickBot="1">
      <c r="A49" s="247"/>
      <c r="B49" s="195"/>
      <c r="C49" s="33"/>
      <c r="D49" s="33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2">
        <f t="shared" si="4"/>
        <v>0</v>
      </c>
      <c r="R49" s="640"/>
      <c r="T49" s="206"/>
      <c r="U49" s="273"/>
      <c r="V49" s="274"/>
      <c r="W49" s="274"/>
      <c r="X49" s="277"/>
      <c r="Y49" s="276"/>
      <c r="Z49" s="275"/>
      <c r="AA49" s="275"/>
      <c r="AB49" s="275"/>
      <c r="AC49" s="275"/>
      <c r="AD49" s="275"/>
      <c r="AE49" s="275"/>
      <c r="AF49" s="275"/>
      <c r="AG49" s="275"/>
      <c r="AH49" s="275"/>
      <c r="AI49" s="276"/>
      <c r="AJ49" s="204">
        <f t="shared" si="2"/>
        <v>0</v>
      </c>
      <c r="AK49" s="205"/>
      <c r="AM49" s="239"/>
      <c r="AN49" s="254"/>
      <c r="AO49" s="480"/>
      <c r="AP49" s="202"/>
      <c r="AQ49" s="207"/>
      <c r="AR49" s="207"/>
      <c r="AS49" s="207"/>
      <c r="AT49" s="207"/>
      <c r="AU49" s="207"/>
      <c r="AV49" s="207"/>
      <c r="AW49" s="207"/>
      <c r="AX49" s="207"/>
      <c r="AY49" s="207"/>
      <c r="AZ49" s="207"/>
      <c r="BA49" s="207"/>
      <c r="BB49" s="202"/>
      <c r="BC49" s="203">
        <f t="shared" si="6"/>
        <v>0</v>
      </c>
      <c r="BD49" s="463"/>
    </row>
    <row r="50" spans="1:56" ht="15" thickBot="1">
      <c r="A50" s="247"/>
      <c r="B50" s="195"/>
      <c r="C50" s="33"/>
      <c r="D50" s="33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2"/>
      <c r="R50" s="640"/>
      <c r="T50" s="247"/>
      <c r="U50" s="248"/>
      <c r="V50" s="194"/>
      <c r="W50" s="194"/>
      <c r="X50" s="384"/>
      <c r="Y50" s="382"/>
      <c r="Z50" s="383"/>
      <c r="AA50" s="383"/>
      <c r="AB50" s="383"/>
      <c r="AC50" s="383"/>
      <c r="AD50" s="383"/>
      <c r="AE50" s="383"/>
      <c r="AF50" s="383"/>
      <c r="AG50" s="383"/>
      <c r="AH50" s="383"/>
      <c r="AI50" s="382"/>
      <c r="AJ50" s="203"/>
      <c r="AK50" s="299"/>
      <c r="AM50" s="247"/>
      <c r="AN50" s="248"/>
      <c r="AO50" s="12"/>
      <c r="AP50" s="12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2"/>
      <c r="BC50" s="136">
        <f t="shared" si="6"/>
        <v>0</v>
      </c>
      <c r="BD50" s="432"/>
    </row>
    <row r="51" spans="1:56" ht="15" thickBot="1">
      <c r="A51" s="239"/>
      <c r="B51" s="195"/>
      <c r="C51" s="33"/>
      <c r="D51" s="33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2">
        <f t="shared" si="4"/>
        <v>0</v>
      </c>
      <c r="R51" s="640"/>
      <c r="T51" s="224"/>
      <c r="U51" s="263"/>
      <c r="V51" s="12"/>
      <c r="W51" s="12"/>
      <c r="X51" s="163"/>
      <c r="Y51" s="163"/>
      <c r="Z51" s="168"/>
      <c r="AA51" s="168"/>
      <c r="AB51" s="168"/>
      <c r="AC51" s="168"/>
      <c r="AD51" s="168"/>
      <c r="AE51" s="168"/>
      <c r="AF51" s="168"/>
      <c r="AG51" s="168"/>
      <c r="AH51" s="168"/>
      <c r="AI51" s="163"/>
      <c r="AJ51" s="203">
        <f t="shared" si="2"/>
        <v>0</v>
      </c>
      <c r="AK51" s="299"/>
      <c r="AM51" s="247"/>
      <c r="AN51" s="248"/>
      <c r="AO51" s="12"/>
      <c r="AP51" s="12"/>
      <c r="AQ51" s="12"/>
      <c r="AR51" s="12"/>
      <c r="AS51" s="12"/>
      <c r="AT51" s="12"/>
      <c r="AU51" s="19"/>
      <c r="AV51" s="12"/>
      <c r="AW51" s="12"/>
      <c r="AX51" s="12"/>
      <c r="AY51" s="12"/>
      <c r="AZ51" s="12"/>
      <c r="BA51" s="12"/>
      <c r="BB51" s="12"/>
      <c r="BC51" s="136">
        <f t="shared" si="6"/>
        <v>0</v>
      </c>
      <c r="BD51" s="432"/>
    </row>
    <row r="52" spans="1:56">
      <c r="A52" s="247"/>
      <c r="B52" s="258"/>
      <c r="C52" s="33"/>
      <c r="D52" s="33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2">
        <f t="shared" si="4"/>
        <v>0</v>
      </c>
      <c r="R52" s="640"/>
      <c r="T52" s="266"/>
      <c r="U52" s="267"/>
      <c r="V52" s="31"/>
      <c r="W52" s="31"/>
      <c r="X52" s="48"/>
      <c r="Y52" s="214"/>
      <c r="Z52" s="49"/>
      <c r="AA52" s="49"/>
      <c r="AB52" s="49"/>
      <c r="AC52" s="49"/>
      <c r="AD52" s="49"/>
      <c r="AE52" s="49"/>
      <c r="AF52" s="49"/>
      <c r="AG52" s="49"/>
      <c r="AH52" s="49"/>
      <c r="AI52" s="214"/>
      <c r="AJ52" s="139">
        <f t="shared" si="2"/>
        <v>0</v>
      </c>
      <c r="AK52" s="639"/>
      <c r="AM52" s="247"/>
      <c r="AN52" s="248"/>
      <c r="AO52" s="235"/>
      <c r="AP52" s="236"/>
      <c r="AQ52" s="12"/>
      <c r="AR52" s="12"/>
      <c r="AS52" s="12"/>
      <c r="AT52" s="12"/>
      <c r="AU52" s="19"/>
      <c r="AV52" s="12"/>
      <c r="AW52" s="12"/>
      <c r="AX52" s="12"/>
      <c r="AY52" s="12"/>
      <c r="AZ52" s="19"/>
      <c r="BA52" s="12"/>
      <c r="BB52" s="12"/>
      <c r="BC52" s="387">
        <f t="shared" si="6"/>
        <v>0</v>
      </c>
      <c r="BD52" s="432"/>
    </row>
    <row r="53" spans="1:56">
      <c r="A53" s="247"/>
      <c r="B53" s="248"/>
      <c r="C53" s="33"/>
      <c r="D53" s="33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2">
        <f t="shared" si="4"/>
        <v>0</v>
      </c>
      <c r="R53" s="640"/>
      <c r="T53" s="266"/>
      <c r="U53" s="268"/>
      <c r="V53" s="31"/>
      <c r="W53" s="31"/>
      <c r="X53" s="214"/>
      <c r="Y53" s="214"/>
      <c r="Z53" s="49"/>
      <c r="AA53" s="49"/>
      <c r="AB53" s="49"/>
      <c r="AC53" s="49"/>
      <c r="AD53" s="49"/>
      <c r="AE53" s="49"/>
      <c r="AF53" s="49"/>
      <c r="AG53" s="49"/>
      <c r="AH53" s="49"/>
      <c r="AI53" s="214"/>
      <c r="AJ53" s="32">
        <f t="shared" si="2"/>
        <v>0</v>
      </c>
      <c r="AK53" s="640"/>
      <c r="AM53" s="247"/>
      <c r="AN53" s="248"/>
      <c r="AO53" s="235"/>
      <c r="AP53" s="13"/>
      <c r="AQ53" s="12"/>
      <c r="AR53" s="12"/>
      <c r="AS53" s="12"/>
      <c r="AT53" s="12"/>
      <c r="AU53" s="19"/>
      <c r="AV53" s="12"/>
      <c r="AW53" s="12"/>
      <c r="AX53" s="12"/>
      <c r="AY53" s="12"/>
      <c r="AZ53" s="12"/>
      <c r="BA53" s="12"/>
      <c r="BB53" s="12"/>
      <c r="BC53" s="136">
        <f t="shared" si="6"/>
        <v>0</v>
      </c>
      <c r="BD53" s="432"/>
    </row>
    <row r="54" spans="1:56" ht="15" thickBot="1">
      <c r="A54" s="239"/>
      <c r="B54" s="254"/>
      <c r="C54" s="140"/>
      <c r="D54" s="140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2">
        <f t="shared" si="4"/>
        <v>0</v>
      </c>
      <c r="R54" s="641"/>
      <c r="T54" s="246"/>
      <c r="U54" s="268"/>
      <c r="V54" s="31"/>
      <c r="W54" s="31"/>
      <c r="X54" s="214"/>
      <c r="Y54" s="214"/>
      <c r="Z54" s="49"/>
      <c r="AA54" s="49"/>
      <c r="AB54" s="49"/>
      <c r="AC54" s="49"/>
      <c r="AD54" s="49"/>
      <c r="AE54" s="49"/>
      <c r="AF54" s="49"/>
      <c r="AG54" s="49"/>
      <c r="AH54" s="49"/>
      <c r="AI54" s="214"/>
      <c r="AJ54" s="142">
        <f t="shared" si="2"/>
        <v>0</v>
      </c>
      <c r="AK54" s="641"/>
      <c r="AM54" s="239"/>
      <c r="AN54" s="254"/>
      <c r="AO54" s="202"/>
      <c r="AP54" s="202"/>
      <c r="AQ54" s="202"/>
      <c r="AR54" s="202"/>
      <c r="AS54" s="202"/>
      <c r="AT54" s="202"/>
      <c r="AU54" s="202"/>
      <c r="AV54" s="202"/>
      <c r="AW54" s="202"/>
      <c r="AX54" s="202"/>
      <c r="AY54" s="202"/>
      <c r="AZ54" s="202"/>
      <c r="BA54" s="202"/>
      <c r="BB54" s="202"/>
      <c r="BC54" s="203">
        <f t="shared" si="6"/>
        <v>0</v>
      </c>
      <c r="BD54" s="433"/>
    </row>
    <row r="55" spans="1:56">
      <c r="A55" s="224"/>
      <c r="B55" s="372"/>
      <c r="C55" s="13"/>
      <c r="D55" s="13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36">
        <f t="shared" si="4"/>
        <v>0</v>
      </c>
      <c r="R55" s="223"/>
      <c r="T55" s="266"/>
      <c r="U55" s="267"/>
      <c r="V55" s="246"/>
      <c r="W55" s="31"/>
      <c r="X55" s="48"/>
      <c r="Y55" s="48"/>
      <c r="Z55" s="49"/>
      <c r="AA55" s="49"/>
      <c r="AB55" s="49"/>
      <c r="AC55" s="49"/>
      <c r="AD55" s="49"/>
      <c r="AE55" s="49"/>
      <c r="AF55" s="49"/>
      <c r="AG55" s="49"/>
      <c r="AH55" s="49"/>
      <c r="AI55" s="214"/>
      <c r="AJ55" s="136">
        <f t="shared" si="2"/>
        <v>0</v>
      </c>
      <c r="AK55" s="639"/>
      <c r="AM55" s="247"/>
      <c r="AN55" s="248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36">
        <f t="shared" si="6"/>
        <v>0</v>
      </c>
      <c r="BD55" s="643"/>
    </row>
    <row r="56" spans="1:56">
      <c r="A56" s="266"/>
      <c r="B56" s="267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2">
        <f t="shared" si="4"/>
        <v>0</v>
      </c>
      <c r="R56" s="302"/>
      <c r="T56" s="266"/>
      <c r="U56" s="268"/>
      <c r="V56" s="246"/>
      <c r="W56" s="31"/>
      <c r="X56" s="48"/>
      <c r="Y56" s="48"/>
      <c r="Z56" s="49"/>
      <c r="AA56" s="49"/>
      <c r="AB56" s="49"/>
      <c r="AC56" s="49"/>
      <c r="AD56" s="49"/>
      <c r="AE56" s="49"/>
      <c r="AF56" s="49"/>
      <c r="AG56" s="49"/>
      <c r="AH56" s="49"/>
      <c r="AI56" s="214"/>
      <c r="AJ56" s="32">
        <f t="shared" si="2"/>
        <v>0</v>
      </c>
      <c r="AK56" s="640"/>
      <c r="AM56" s="247"/>
      <c r="AN56" s="248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2">
        <f t="shared" si="6"/>
        <v>0</v>
      </c>
      <c r="BD56" s="633"/>
    </row>
    <row r="57" spans="1:56" ht="15" thickBot="1">
      <c r="A57" s="266"/>
      <c r="B57" s="267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2">
        <f t="shared" si="4"/>
        <v>0</v>
      </c>
      <c r="R57" s="647"/>
      <c r="T57" s="246"/>
      <c r="U57" s="268"/>
      <c r="V57" s="246"/>
      <c r="W57" s="31"/>
      <c r="X57" s="214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214"/>
      <c r="AJ57" s="203">
        <f t="shared" si="2"/>
        <v>0</v>
      </c>
      <c r="AK57" s="641"/>
      <c r="AM57" s="247"/>
      <c r="AN57" s="248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9"/>
      <c r="BA57" s="19"/>
      <c r="BB57" s="12"/>
      <c r="BC57" s="136">
        <f t="shared" si="6"/>
        <v>0</v>
      </c>
      <c r="BD57" s="633"/>
    </row>
    <row r="58" spans="1:56">
      <c r="A58" s="266"/>
      <c r="B58" s="267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2">
        <f t="shared" ref="Q58:Q73" si="7">SUM(E58:P58)</f>
        <v>0</v>
      </c>
      <c r="R58" s="647"/>
      <c r="T58" s="266"/>
      <c r="U58" s="267"/>
      <c r="V58" s="31"/>
      <c r="W58" s="31"/>
      <c r="X58" s="214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214"/>
      <c r="AJ58" s="136">
        <f t="shared" si="2"/>
        <v>0</v>
      </c>
      <c r="AK58" s="223"/>
      <c r="AM58" s="247"/>
      <c r="AN58" s="248"/>
      <c r="AO58" s="12"/>
      <c r="AP58" s="12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36">
        <f t="shared" si="6"/>
        <v>0</v>
      </c>
      <c r="BD58" s="633"/>
    </row>
    <row r="59" spans="1:56">
      <c r="A59" s="246"/>
      <c r="B59" s="269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2">
        <f t="shared" si="7"/>
        <v>0</v>
      </c>
      <c r="R59" s="647"/>
      <c r="T59" s="266"/>
      <c r="U59" s="268"/>
      <c r="V59" s="246"/>
      <c r="W59" s="31"/>
      <c r="X59" s="214"/>
      <c r="Y59" s="49"/>
      <c r="Z59" s="49"/>
      <c r="AA59" s="49"/>
      <c r="AB59" s="49"/>
      <c r="AC59" s="49"/>
      <c r="AD59" s="49"/>
      <c r="AE59" s="214"/>
      <c r="AF59" s="214"/>
      <c r="AG59" s="214"/>
      <c r="AH59" s="214"/>
      <c r="AI59" s="214"/>
      <c r="AJ59" s="32">
        <f t="shared" si="2"/>
        <v>0</v>
      </c>
      <c r="AK59" s="223"/>
      <c r="AM59" s="247"/>
      <c r="AN59" s="248"/>
      <c r="AO59" s="12"/>
      <c r="AP59" s="12"/>
      <c r="AQ59" s="19"/>
      <c r="AR59" s="19"/>
      <c r="AS59" s="19"/>
      <c r="AT59" s="241"/>
      <c r="AU59" s="19"/>
      <c r="AV59" s="19"/>
      <c r="AW59" s="19"/>
      <c r="AX59" s="19"/>
      <c r="AY59" s="19"/>
      <c r="AZ59" s="19"/>
      <c r="BA59" s="19"/>
      <c r="BB59" s="19"/>
      <c r="BC59" s="136">
        <f t="shared" si="6"/>
        <v>0</v>
      </c>
      <c r="BD59" s="633"/>
    </row>
    <row r="60" spans="1:56" ht="15" thickBot="1">
      <c r="A60" s="266"/>
      <c r="B60" s="265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2">
        <f t="shared" si="7"/>
        <v>0</v>
      </c>
      <c r="R60" s="647"/>
      <c r="T60" s="246"/>
      <c r="U60" s="268"/>
      <c r="V60" s="246"/>
      <c r="W60" s="31"/>
      <c r="X60" s="214"/>
      <c r="Y60" s="49"/>
      <c r="Z60" s="49"/>
      <c r="AA60" s="49"/>
      <c r="AB60" s="49"/>
      <c r="AC60" s="49"/>
      <c r="AD60" s="49"/>
      <c r="AE60" s="214"/>
      <c r="AF60" s="214"/>
      <c r="AG60" s="214"/>
      <c r="AH60" s="214"/>
      <c r="AI60" s="214"/>
      <c r="AJ60" s="142">
        <f t="shared" si="2"/>
        <v>0</v>
      </c>
      <c r="AK60" s="226"/>
      <c r="AM60" s="247"/>
      <c r="AN60" s="248"/>
      <c r="AO60" s="12"/>
      <c r="AP60" s="12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216">
        <f t="shared" si="6"/>
        <v>0</v>
      </c>
      <c r="BD60" s="633"/>
    </row>
    <row r="61" spans="1:56" ht="15" thickBot="1">
      <c r="A61" s="266"/>
      <c r="B61" s="269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2">
        <f t="shared" si="7"/>
        <v>0</v>
      </c>
      <c r="R61" s="647"/>
      <c r="T61" s="266"/>
      <c r="U61" s="267"/>
      <c r="V61" s="31"/>
      <c r="W61" s="31"/>
      <c r="X61" s="214"/>
      <c r="Y61" s="49"/>
      <c r="Z61" s="49"/>
      <c r="AA61" s="49"/>
      <c r="AB61" s="49"/>
      <c r="AC61" s="49"/>
      <c r="AD61" s="49"/>
      <c r="AE61" s="214"/>
      <c r="AF61" s="214"/>
      <c r="AG61" s="214"/>
      <c r="AH61" s="214"/>
      <c r="AI61" s="214"/>
      <c r="AJ61" s="204">
        <f t="shared" si="2"/>
        <v>0</v>
      </c>
      <c r="AK61" s="205"/>
      <c r="AM61" s="247"/>
      <c r="AN61" s="248"/>
      <c r="AO61" s="12"/>
      <c r="AP61" s="12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216">
        <f t="shared" si="6"/>
        <v>0</v>
      </c>
      <c r="BD61" s="633"/>
    </row>
    <row r="62" spans="1:56" ht="15" thickBot="1">
      <c r="A62" s="246"/>
      <c r="B62" s="269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2">
        <f t="shared" si="7"/>
        <v>0</v>
      </c>
      <c r="R62" s="647"/>
      <c r="T62" s="266"/>
      <c r="U62" s="648"/>
      <c r="V62" s="31"/>
      <c r="W62" s="31"/>
      <c r="X62" s="214"/>
      <c r="Y62" s="214"/>
      <c r="Z62" s="49"/>
      <c r="AA62" s="49"/>
      <c r="AB62" s="49"/>
      <c r="AC62" s="49"/>
      <c r="AD62" s="49"/>
      <c r="AE62" s="214"/>
      <c r="AF62" s="48"/>
      <c r="AG62" s="214"/>
      <c r="AH62" s="48"/>
      <c r="AI62" s="214"/>
      <c r="AJ62" s="139">
        <f t="shared" si="2"/>
        <v>0</v>
      </c>
      <c r="AK62" s="639"/>
      <c r="AM62" s="239"/>
      <c r="AN62" s="254"/>
      <c r="AO62" s="202"/>
      <c r="AP62" s="202"/>
      <c r="AQ62" s="207"/>
      <c r="AR62" s="431"/>
      <c r="AS62" s="207"/>
      <c r="AT62" s="207"/>
      <c r="AU62" s="207"/>
      <c r="AV62" s="207"/>
      <c r="AW62" s="207"/>
      <c r="AX62" s="207"/>
      <c r="AY62" s="207"/>
      <c r="AZ62" s="207"/>
      <c r="BA62" s="207"/>
      <c r="BB62" s="202"/>
      <c r="BC62" s="242">
        <f t="shared" si="6"/>
        <v>0</v>
      </c>
      <c r="BD62" s="634"/>
    </row>
    <row r="63" spans="1:56" ht="15" thickBot="1">
      <c r="A63" s="239"/>
      <c r="B63" s="225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6">
        <f t="shared" si="7"/>
        <v>0</v>
      </c>
      <c r="R63" s="640"/>
      <c r="T63" s="266"/>
      <c r="U63" s="648"/>
      <c r="V63" s="31"/>
      <c r="W63" s="31"/>
      <c r="X63" s="214"/>
      <c r="Y63" s="48"/>
      <c r="Z63" s="49"/>
      <c r="AA63" s="49"/>
      <c r="AB63" s="49"/>
      <c r="AC63" s="49"/>
      <c r="AD63" s="49"/>
      <c r="AE63" s="214"/>
      <c r="AF63" s="48"/>
      <c r="AG63" s="214"/>
      <c r="AH63" s="214"/>
      <c r="AI63" s="214"/>
      <c r="AJ63" s="32">
        <f t="shared" si="2"/>
        <v>0</v>
      </c>
      <c r="AK63" s="640"/>
      <c r="AM63" s="247"/>
      <c r="AN63" s="248"/>
      <c r="AO63" s="12"/>
      <c r="AP63" s="12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2"/>
      <c r="BC63" s="136">
        <f t="shared" si="6"/>
        <v>0</v>
      </c>
      <c r="BD63" s="643"/>
    </row>
    <row r="64" spans="1:56" ht="15" thickBot="1">
      <c r="A64" s="198"/>
      <c r="B64" s="222"/>
      <c r="C64" s="237"/>
      <c r="D64" s="237"/>
      <c r="E64" s="251"/>
      <c r="F64" s="251"/>
      <c r="G64" s="251"/>
      <c r="H64" s="251"/>
      <c r="I64" s="251"/>
      <c r="J64" s="251"/>
      <c r="K64" s="251"/>
      <c r="L64" s="251"/>
      <c r="M64" s="251"/>
      <c r="N64" s="251"/>
      <c r="O64" s="251"/>
      <c r="P64" s="251"/>
      <c r="Q64" s="203">
        <f t="shared" si="7"/>
        <v>0</v>
      </c>
      <c r="R64" s="641"/>
      <c r="T64" s="266"/>
      <c r="U64" s="268"/>
      <c r="V64" s="31"/>
      <c r="W64" s="31"/>
      <c r="X64" s="214"/>
      <c r="Y64" s="48"/>
      <c r="Z64" s="48"/>
      <c r="AA64" s="48"/>
      <c r="AB64" s="48"/>
      <c r="AC64" s="214"/>
      <c r="AD64" s="214"/>
      <c r="AE64" s="214"/>
      <c r="AF64" s="214"/>
      <c r="AG64" s="214"/>
      <c r="AH64" s="214"/>
      <c r="AI64" s="214"/>
      <c r="AJ64" s="203">
        <f t="shared" si="2"/>
        <v>0</v>
      </c>
      <c r="AK64" s="641"/>
      <c r="AM64" s="247"/>
      <c r="AN64" s="248"/>
      <c r="AO64" s="12"/>
      <c r="AP64" s="12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2"/>
      <c r="BC64" s="216">
        <f t="shared" si="6"/>
        <v>0</v>
      </c>
      <c r="BD64" s="633"/>
    </row>
    <row r="65" spans="1:56" ht="15" thickBot="1">
      <c r="A65" s="206"/>
      <c r="B65" s="255"/>
      <c r="C65" s="256"/>
      <c r="D65" s="256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9">
        <f t="shared" si="7"/>
        <v>0</v>
      </c>
      <c r="R65" s="639"/>
      <c r="T65" s="266"/>
      <c r="U65" s="270"/>
      <c r="V65" s="31"/>
      <c r="W65" s="31"/>
      <c r="X65" s="214"/>
      <c r="Y65" s="49"/>
      <c r="Z65" s="49"/>
      <c r="AA65" s="49"/>
      <c r="AB65" s="214"/>
      <c r="AC65" s="48"/>
      <c r="AD65" s="214"/>
      <c r="AE65" s="214"/>
      <c r="AF65" s="214"/>
      <c r="AG65" s="214"/>
      <c r="AH65" s="214"/>
      <c r="AI65" s="214"/>
      <c r="AJ65" s="139">
        <f t="shared" si="2"/>
        <v>0</v>
      </c>
      <c r="AK65" s="639"/>
      <c r="AM65" s="247"/>
      <c r="AN65" s="248"/>
      <c r="AO65" s="12"/>
      <c r="AP65" s="12"/>
      <c r="AQ65" s="19"/>
      <c r="AR65" s="18"/>
      <c r="AS65" s="18"/>
      <c r="AT65" s="18"/>
      <c r="AU65" s="18"/>
      <c r="AV65" s="18"/>
      <c r="AW65" s="18"/>
      <c r="AX65" s="18"/>
      <c r="AY65" s="19"/>
      <c r="AZ65" s="19"/>
      <c r="BA65" s="19"/>
      <c r="BB65" s="19"/>
      <c r="BC65" s="32">
        <f t="shared" si="6"/>
        <v>0</v>
      </c>
      <c r="BD65" s="633"/>
    </row>
    <row r="66" spans="1:56" ht="15" thickBot="1">
      <c r="A66" s="206"/>
      <c r="B66" s="255"/>
      <c r="C66" s="256"/>
      <c r="D66" s="256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9">
        <f t="shared" si="7"/>
        <v>0</v>
      </c>
      <c r="R66" s="640"/>
      <c r="T66" s="266"/>
      <c r="U66" s="270"/>
      <c r="V66" s="31"/>
      <c r="W66" s="31"/>
      <c r="X66" s="214"/>
      <c r="Y66" s="49"/>
      <c r="Z66" s="49"/>
      <c r="AA66" s="49"/>
      <c r="AB66" s="214"/>
      <c r="AC66" s="48"/>
      <c r="AD66" s="214"/>
      <c r="AE66" s="214"/>
      <c r="AF66" s="214"/>
      <c r="AG66" s="214"/>
      <c r="AH66" s="214"/>
      <c r="AI66" s="214"/>
      <c r="AJ66" s="139">
        <f>SUM(X66:AI66)</f>
        <v>0</v>
      </c>
      <c r="AK66" s="640"/>
      <c r="AM66" s="247"/>
      <c r="AN66" s="248"/>
      <c r="AO66" s="12"/>
      <c r="AP66" s="12"/>
      <c r="AQ66" s="19"/>
      <c r="AR66" s="18"/>
      <c r="AS66" s="18"/>
      <c r="AT66" s="18"/>
      <c r="AU66" s="18"/>
      <c r="AV66" s="18"/>
      <c r="AW66" s="18"/>
      <c r="AX66" s="18"/>
      <c r="AY66" s="19"/>
      <c r="AZ66" s="19"/>
      <c r="BA66" s="19"/>
      <c r="BB66" s="19"/>
      <c r="BC66" s="32">
        <f t="shared" si="6"/>
        <v>0</v>
      </c>
      <c r="BD66" s="633"/>
    </row>
    <row r="67" spans="1:56">
      <c r="A67" s="247"/>
      <c r="B67" s="225"/>
      <c r="C67" s="245"/>
      <c r="D67" s="245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2">
        <f t="shared" si="7"/>
        <v>0</v>
      </c>
      <c r="R67" s="640"/>
      <c r="T67" s="247"/>
      <c r="U67" s="248"/>
      <c r="V67" s="12"/>
      <c r="W67" s="12"/>
      <c r="X67" s="163"/>
      <c r="Y67" s="168"/>
      <c r="Z67" s="168"/>
      <c r="AA67" s="168"/>
      <c r="AB67" s="163"/>
      <c r="AC67" s="164"/>
      <c r="AD67" s="164"/>
      <c r="AE67" s="163"/>
      <c r="AF67" s="163"/>
      <c r="AG67" s="163"/>
      <c r="AH67" s="164"/>
      <c r="AI67" s="163"/>
      <c r="AJ67" s="32">
        <f t="shared" si="2"/>
        <v>0</v>
      </c>
      <c r="AK67" s="640"/>
      <c r="AM67" s="247"/>
      <c r="AN67" s="195"/>
      <c r="AO67" s="12"/>
      <c r="AP67" s="12"/>
      <c r="AQ67" s="19"/>
      <c r="AR67" s="19"/>
      <c r="AS67" s="19"/>
      <c r="AT67" s="419"/>
      <c r="AU67" s="19"/>
      <c r="AV67" s="19"/>
      <c r="AW67" s="19"/>
      <c r="AX67" s="19"/>
      <c r="AY67" s="19"/>
      <c r="AZ67" s="19"/>
      <c r="BA67" s="19"/>
      <c r="BB67" s="12"/>
      <c r="BC67" s="234">
        <f t="shared" si="6"/>
        <v>0</v>
      </c>
      <c r="BD67" s="633"/>
    </row>
    <row r="68" spans="1:56" ht="15" thickBot="1">
      <c r="A68" s="239"/>
      <c r="B68" s="222"/>
      <c r="C68" s="237"/>
      <c r="D68" s="237"/>
      <c r="E68" s="140"/>
      <c r="F68" s="140"/>
      <c r="G68" s="140"/>
      <c r="H68" s="140"/>
      <c r="I68" s="140"/>
      <c r="J68" s="251"/>
      <c r="K68" s="251"/>
      <c r="L68" s="251"/>
      <c r="M68" s="251"/>
      <c r="N68" s="251"/>
      <c r="O68" s="251"/>
      <c r="P68" s="251"/>
      <c r="Q68" s="203">
        <f t="shared" si="7"/>
        <v>0</v>
      </c>
      <c r="R68" s="641"/>
      <c r="T68" s="224"/>
      <c r="U68" s="263"/>
      <c r="V68" s="12"/>
      <c r="W68" s="12"/>
      <c r="X68" s="163"/>
      <c r="Y68" s="48"/>
      <c r="Z68" s="48"/>
      <c r="AA68" s="48"/>
      <c r="AB68" s="48"/>
      <c r="AC68" s="48"/>
      <c r="AD68" s="48"/>
      <c r="AE68" s="214"/>
      <c r="AF68" s="214"/>
      <c r="AG68" s="214"/>
      <c r="AH68" s="214"/>
      <c r="AI68" s="214"/>
      <c r="AJ68" s="32">
        <f t="shared" si="2"/>
        <v>0</v>
      </c>
      <c r="AK68" s="641"/>
      <c r="AM68" s="247"/>
      <c r="AN68" s="195"/>
      <c r="AO68" s="12"/>
      <c r="AP68" s="12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216">
        <f t="shared" si="6"/>
        <v>0</v>
      </c>
      <c r="BD68" s="633"/>
    </row>
    <row r="69" spans="1:56" ht="15" thickBot="1">
      <c r="A69" s="206"/>
      <c r="B69" s="225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6">
        <f t="shared" si="7"/>
        <v>0</v>
      </c>
      <c r="R69" s="639"/>
      <c r="T69" s="247"/>
      <c r="U69" s="195"/>
      <c r="V69" s="12"/>
      <c r="W69" s="12"/>
      <c r="X69" s="163"/>
      <c r="Y69" s="163"/>
      <c r="Z69" s="164"/>
      <c r="AA69" s="164"/>
      <c r="AB69" s="164"/>
      <c r="AC69" s="164"/>
      <c r="AD69" s="163"/>
      <c r="AE69" s="163"/>
      <c r="AF69" s="163"/>
      <c r="AG69" s="164"/>
      <c r="AH69" s="163"/>
      <c r="AI69" s="163"/>
      <c r="AJ69" s="136">
        <f t="shared" si="2"/>
        <v>0</v>
      </c>
      <c r="AK69" s="640"/>
      <c r="AM69" s="239"/>
      <c r="AN69" s="197"/>
      <c r="AO69" s="141"/>
      <c r="AP69" s="141"/>
      <c r="AQ69" s="207"/>
      <c r="AR69" s="207"/>
      <c r="AS69" s="207"/>
      <c r="AT69" s="313"/>
      <c r="AU69" s="207"/>
      <c r="AV69" s="207"/>
      <c r="AW69" s="207"/>
      <c r="AX69" s="207"/>
      <c r="AY69" s="207"/>
      <c r="AZ69" s="207"/>
      <c r="BA69" s="207"/>
      <c r="BB69" s="207"/>
      <c r="BC69" s="203">
        <f t="shared" si="6"/>
        <v>0</v>
      </c>
      <c r="BD69" s="634"/>
    </row>
    <row r="70" spans="1:56" ht="15" thickBot="1">
      <c r="A70" s="247"/>
      <c r="B70" s="220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2">
        <f t="shared" si="7"/>
        <v>0</v>
      </c>
      <c r="R70" s="640"/>
      <c r="T70" s="239"/>
      <c r="U70" s="197"/>
      <c r="V70" s="141"/>
      <c r="W70" s="141"/>
      <c r="X70" s="169"/>
      <c r="Y70" s="170"/>
      <c r="Z70" s="169"/>
      <c r="AA70" s="169"/>
      <c r="AB70" s="169"/>
      <c r="AC70" s="169"/>
      <c r="AD70" s="170"/>
      <c r="AE70" s="169"/>
      <c r="AF70" s="170"/>
      <c r="AG70" s="170"/>
      <c r="AH70" s="170"/>
      <c r="AI70" s="170"/>
      <c r="AJ70" s="257"/>
      <c r="AK70" s="641"/>
      <c r="AM70" s="247"/>
      <c r="AN70" s="248"/>
      <c r="AO70" s="12"/>
      <c r="AP70" s="12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36">
        <f t="shared" si="6"/>
        <v>0</v>
      </c>
      <c r="BD70" s="643"/>
    </row>
    <row r="71" spans="1:56">
      <c r="A71" s="247"/>
      <c r="B71" s="220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6"/>
      <c r="R71" s="640"/>
      <c r="T71" s="177"/>
      <c r="U71" s="175"/>
      <c r="X71" s="181"/>
      <c r="Y71" s="180"/>
      <c r="Z71" s="181"/>
      <c r="AA71" s="181"/>
      <c r="AB71" s="181"/>
      <c r="AC71" s="181"/>
      <c r="AD71" s="180"/>
      <c r="AE71" s="181"/>
      <c r="AF71" s="180"/>
      <c r="AG71" s="180"/>
      <c r="AH71" s="180"/>
      <c r="AI71" s="180"/>
      <c r="AJ71" s="452"/>
      <c r="AK71" s="453"/>
      <c r="AM71" s="247"/>
      <c r="AN71" s="248"/>
      <c r="AO71" s="12"/>
      <c r="AP71" s="12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36">
        <f t="shared" si="6"/>
        <v>0</v>
      </c>
      <c r="BD71" s="633"/>
    </row>
    <row r="72" spans="1:56">
      <c r="A72" s="247"/>
      <c r="B72" s="220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2">
        <f t="shared" si="7"/>
        <v>0</v>
      </c>
      <c r="R72" s="640"/>
      <c r="T72" s="177"/>
      <c r="U72" s="179"/>
      <c r="V72" s="180"/>
      <c r="W72" s="180"/>
      <c r="X72" s="181"/>
      <c r="Y72" s="180"/>
      <c r="Z72" s="181"/>
      <c r="AA72" s="181"/>
      <c r="AB72" s="180"/>
      <c r="AC72" s="181"/>
      <c r="AD72" s="180"/>
      <c r="AE72" s="180"/>
      <c r="AF72" s="180"/>
      <c r="AG72" s="181"/>
      <c r="AH72" s="180"/>
      <c r="AI72" s="180"/>
      <c r="AJ72" s="180"/>
      <c r="AK72" s="180"/>
      <c r="AM72" s="240"/>
      <c r="AN72" s="248"/>
      <c r="AO72" s="31"/>
      <c r="AP72" s="31"/>
      <c r="AQ72" s="12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36">
        <f t="shared" si="6"/>
        <v>0</v>
      </c>
      <c r="BD72" s="633"/>
    </row>
    <row r="73" spans="1:56">
      <c r="A73" s="224"/>
      <c r="B73" s="221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2">
        <f t="shared" si="7"/>
        <v>0</v>
      </c>
      <c r="R73" s="646"/>
      <c r="T73" s="177"/>
      <c r="U73" s="179"/>
      <c r="V73" s="180"/>
      <c r="W73" s="180"/>
      <c r="X73" s="180"/>
      <c r="Y73" s="181"/>
      <c r="Z73" s="181"/>
      <c r="AA73" s="181"/>
      <c r="AB73" s="181"/>
      <c r="AC73" s="181"/>
      <c r="AD73" s="181"/>
      <c r="AE73" s="181"/>
      <c r="AF73" s="181"/>
      <c r="AG73" s="180"/>
      <c r="AH73" s="180"/>
      <c r="AI73" s="180"/>
      <c r="AJ73" s="180"/>
      <c r="AK73" s="180"/>
      <c r="AM73" s="240"/>
      <c r="AN73" s="248"/>
      <c r="AO73" s="12"/>
      <c r="AP73" s="12"/>
      <c r="AQ73" s="12"/>
      <c r="AR73" s="19"/>
      <c r="AS73" s="19"/>
      <c r="AT73" s="19"/>
      <c r="AU73" s="19"/>
      <c r="AV73" s="19"/>
      <c r="AW73" s="19"/>
      <c r="AX73" s="19"/>
      <c r="AY73" s="12"/>
      <c r="AZ73" s="12"/>
      <c r="BA73" s="12"/>
      <c r="BB73" s="12"/>
      <c r="BC73" s="215">
        <f t="shared" si="6"/>
        <v>0</v>
      </c>
      <c r="BD73" s="633"/>
    </row>
    <row r="74" spans="1:56">
      <c r="A74" s="174"/>
      <c r="B74" s="175"/>
      <c r="C74" s="176"/>
      <c r="D74" s="176"/>
      <c r="T74" s="177"/>
      <c r="U74" s="179"/>
      <c r="V74" s="180"/>
      <c r="W74" s="180"/>
      <c r="X74" s="180"/>
      <c r="Y74" s="181"/>
      <c r="Z74" s="181"/>
      <c r="AA74" s="181"/>
      <c r="AB74" s="181"/>
      <c r="AC74" s="180"/>
      <c r="AD74" s="180"/>
      <c r="AE74" s="180"/>
      <c r="AF74" s="180"/>
      <c r="AG74" s="180"/>
      <c r="AH74" s="180"/>
      <c r="AI74" s="180"/>
      <c r="AJ74" s="180"/>
      <c r="AK74" s="180"/>
      <c r="AM74" s="240"/>
      <c r="AN74" s="248"/>
      <c r="AO74" s="12"/>
      <c r="AP74" s="12"/>
      <c r="AQ74" s="31"/>
      <c r="AR74" s="18"/>
      <c r="AS74" s="18"/>
      <c r="AT74" s="18"/>
      <c r="AU74" s="18"/>
      <c r="AV74" s="18"/>
      <c r="AW74" s="18"/>
      <c r="AX74" s="31"/>
      <c r="AY74" s="31"/>
      <c r="AZ74" s="31"/>
      <c r="BA74" s="31"/>
      <c r="BB74" s="31"/>
      <c r="BC74" s="448">
        <f t="shared" si="6"/>
        <v>0</v>
      </c>
      <c r="BD74" s="633"/>
    </row>
    <row r="75" spans="1:56">
      <c r="A75" s="174"/>
      <c r="B75" s="175"/>
      <c r="C75" s="176"/>
      <c r="D75" s="176"/>
      <c r="T75" s="177"/>
      <c r="U75" s="179"/>
      <c r="V75" s="180"/>
      <c r="W75" s="180"/>
      <c r="X75" s="181"/>
      <c r="Y75" s="180"/>
      <c r="Z75" s="181"/>
      <c r="AA75" s="181"/>
      <c r="AB75" s="180"/>
      <c r="AC75" s="181"/>
      <c r="AD75" s="180"/>
      <c r="AE75" s="180"/>
      <c r="AF75" s="180"/>
      <c r="AG75" s="181"/>
      <c r="AH75" s="180"/>
      <c r="AI75" s="180"/>
      <c r="AJ75" s="180"/>
      <c r="AK75" s="180"/>
      <c r="AM75" s="240"/>
      <c r="AN75" s="248"/>
      <c r="AO75" s="12"/>
      <c r="AP75" s="12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216">
        <f t="shared" si="6"/>
        <v>0</v>
      </c>
      <c r="BD75" s="633"/>
    </row>
    <row r="76" spans="1:56" ht="15" thickBot="1">
      <c r="A76" s="174"/>
      <c r="B76" s="175"/>
      <c r="C76" s="176"/>
      <c r="D76" s="176"/>
      <c r="T76" s="177"/>
      <c r="U76" s="179"/>
      <c r="V76" s="180"/>
      <c r="W76" s="180"/>
      <c r="X76" s="180"/>
      <c r="Y76" s="181"/>
      <c r="Z76" s="181"/>
      <c r="AA76" s="181"/>
      <c r="AB76" s="181"/>
      <c r="AC76" s="181"/>
      <c r="AD76" s="181"/>
      <c r="AE76" s="181"/>
      <c r="AF76" s="181"/>
      <c r="AG76" s="180"/>
      <c r="AH76" s="180"/>
      <c r="AI76" s="180"/>
      <c r="AJ76" s="180"/>
      <c r="AK76" s="180"/>
      <c r="AM76" s="449"/>
      <c r="AN76" s="254"/>
      <c r="AO76" s="202"/>
      <c r="AP76" s="202"/>
      <c r="AQ76" s="450"/>
      <c r="AR76" s="451"/>
      <c r="AS76" s="450"/>
      <c r="AT76" s="451"/>
      <c r="AU76" s="451"/>
      <c r="AV76" s="451"/>
      <c r="AW76" s="451"/>
      <c r="AX76" s="451"/>
      <c r="AY76" s="450"/>
      <c r="AZ76" s="207"/>
      <c r="BA76" s="450"/>
      <c r="BB76" s="450"/>
      <c r="BC76" s="203">
        <f t="shared" si="6"/>
        <v>0</v>
      </c>
      <c r="BD76" s="634"/>
    </row>
    <row r="77" spans="1:56">
      <c r="A77" s="174"/>
      <c r="B77" s="175"/>
      <c r="C77" s="176"/>
      <c r="D77" s="176"/>
      <c r="T77" s="177"/>
      <c r="U77" s="179"/>
      <c r="V77" s="180"/>
      <c r="W77" s="180"/>
      <c r="X77" s="180"/>
      <c r="Y77" s="181"/>
      <c r="Z77" s="181"/>
      <c r="AA77" s="181"/>
      <c r="AB77" s="181"/>
      <c r="AC77" s="180"/>
      <c r="AD77" s="180"/>
      <c r="AE77" s="180"/>
      <c r="AF77" s="180"/>
      <c r="AG77" s="180"/>
      <c r="AH77" s="180"/>
      <c r="AI77" s="180"/>
      <c r="AJ77" s="180"/>
      <c r="AK77" s="180"/>
      <c r="AM77" s="240"/>
      <c r="AN77" s="248"/>
      <c r="AO77" s="12"/>
      <c r="AP77" s="12"/>
      <c r="AQ77" s="12"/>
      <c r="AR77" s="19"/>
      <c r="AS77" s="19"/>
      <c r="AT77" s="19"/>
      <c r="AU77" s="241"/>
      <c r="AV77" s="19"/>
      <c r="AW77" s="19"/>
      <c r="AX77" s="12"/>
      <c r="AY77" s="12"/>
      <c r="AZ77" s="12"/>
      <c r="BA77" s="12"/>
      <c r="BB77" s="12"/>
      <c r="BC77" s="136">
        <f t="shared" si="6"/>
        <v>0</v>
      </c>
      <c r="BD77" s="643"/>
    </row>
    <row r="78" spans="1:56">
      <c r="A78" s="177"/>
      <c r="B78" s="175"/>
      <c r="C78" s="176"/>
      <c r="D78" s="176"/>
      <c r="T78" s="177"/>
      <c r="U78" s="179"/>
      <c r="V78" s="180"/>
      <c r="W78" s="180"/>
      <c r="X78" s="180"/>
      <c r="Y78" s="181"/>
      <c r="Z78" s="181"/>
      <c r="AA78" s="181"/>
      <c r="AB78" s="181"/>
      <c r="AC78" s="181"/>
      <c r="AD78" s="181"/>
      <c r="AE78" s="180"/>
      <c r="AF78" s="180"/>
      <c r="AG78" s="180"/>
      <c r="AH78" s="180"/>
      <c r="AI78" s="180"/>
      <c r="AJ78" s="180"/>
      <c r="AK78" s="180"/>
      <c r="AM78" s="240"/>
      <c r="AN78" s="248"/>
      <c r="AO78" s="31"/>
      <c r="AP78" s="31"/>
      <c r="AQ78" s="31"/>
      <c r="AR78" s="18"/>
      <c r="AS78" s="18"/>
      <c r="AT78" s="18"/>
      <c r="AU78" s="18"/>
      <c r="AV78" s="18"/>
      <c r="AW78" s="31"/>
      <c r="AX78" s="31"/>
      <c r="AY78" s="31"/>
      <c r="AZ78" s="31"/>
      <c r="BA78" s="31"/>
      <c r="BB78" s="31"/>
      <c r="BC78" s="32">
        <f t="shared" si="6"/>
        <v>0</v>
      </c>
      <c r="BD78" s="633"/>
    </row>
    <row r="79" spans="1:56" ht="15" thickBot="1">
      <c r="A79" s="174"/>
      <c r="B79" s="175"/>
      <c r="C79" s="176"/>
      <c r="D79" s="176"/>
      <c r="T79" s="177"/>
      <c r="U79" s="179"/>
      <c r="V79" s="180"/>
      <c r="W79" s="180"/>
      <c r="X79" s="180"/>
      <c r="Y79" s="180"/>
      <c r="Z79" s="180"/>
      <c r="AA79" s="181"/>
      <c r="AB79" s="181"/>
      <c r="AC79" s="181"/>
      <c r="AD79" s="181"/>
      <c r="AE79" s="181"/>
      <c r="AF79" s="180"/>
      <c r="AG79" s="181"/>
      <c r="AH79" s="181"/>
      <c r="AI79" s="180"/>
      <c r="AJ79" s="180"/>
      <c r="AK79" s="180"/>
      <c r="AM79" s="301"/>
      <c r="AN79" s="254"/>
      <c r="AO79" s="141"/>
      <c r="AP79" s="141"/>
      <c r="AQ79" s="141"/>
      <c r="AR79" s="171"/>
      <c r="AS79" s="171"/>
      <c r="AT79" s="171"/>
      <c r="AU79" s="171"/>
      <c r="AV79" s="171"/>
      <c r="AW79" s="141"/>
      <c r="AX79" s="141"/>
      <c r="AY79" s="141"/>
      <c r="AZ79" s="171"/>
      <c r="BA79" s="171"/>
      <c r="BB79" s="141"/>
      <c r="BC79" s="142">
        <f t="shared" si="6"/>
        <v>0</v>
      </c>
      <c r="BD79" s="634"/>
    </row>
    <row r="80" spans="1:56">
      <c r="A80" s="174"/>
      <c r="B80" s="175"/>
      <c r="C80" s="176"/>
      <c r="D80" s="176"/>
      <c r="T80" s="177"/>
      <c r="U80" s="179"/>
      <c r="V80" s="180"/>
      <c r="W80" s="180"/>
      <c r="X80" s="181"/>
      <c r="Y80" s="181"/>
      <c r="Z80" s="181"/>
      <c r="AA80" s="181"/>
      <c r="AB80" s="181"/>
      <c r="AC80" s="181"/>
      <c r="AD80" s="181"/>
      <c r="AE80" s="180"/>
      <c r="AF80" s="180"/>
      <c r="AG80" s="180"/>
      <c r="AH80" s="180"/>
      <c r="AI80" s="180"/>
      <c r="AJ80" s="180"/>
      <c r="AK80" s="180"/>
      <c r="AM80" s="300"/>
      <c r="AN80" s="250"/>
      <c r="AO80" s="138"/>
      <c r="AP80" s="138"/>
      <c r="AQ80" s="138"/>
      <c r="AR80" s="173"/>
      <c r="AS80" s="173"/>
      <c r="AT80" s="173"/>
      <c r="AU80" s="173"/>
      <c r="AV80" s="173"/>
      <c r="AW80" s="138"/>
      <c r="AX80" s="138"/>
      <c r="AY80" s="138"/>
      <c r="AZ80" s="138"/>
      <c r="BA80" s="138"/>
      <c r="BB80" s="138"/>
      <c r="BC80" s="139">
        <f t="shared" si="6"/>
        <v>0</v>
      </c>
      <c r="BD80" s="643"/>
    </row>
    <row r="81" spans="1:57">
      <c r="A81" s="174"/>
      <c r="B81" s="175"/>
      <c r="C81" s="176"/>
      <c r="D81" s="176"/>
      <c r="T81" s="177"/>
      <c r="U81" s="179"/>
      <c r="V81" s="180"/>
      <c r="W81" s="180"/>
      <c r="X81" s="180"/>
      <c r="Y81" s="181"/>
      <c r="Z81" s="181"/>
      <c r="AA81" s="181"/>
      <c r="AB81" s="181"/>
      <c r="AC81" s="181"/>
      <c r="AD81" s="181"/>
      <c r="AE81" s="180"/>
      <c r="AF81" s="181"/>
      <c r="AG81" s="180"/>
      <c r="AH81" s="180"/>
      <c r="AI81" s="180"/>
      <c r="AJ81" s="180"/>
      <c r="AK81" s="180"/>
      <c r="AM81" s="247"/>
      <c r="AN81" s="195"/>
      <c r="AO81" s="12"/>
      <c r="AP81" s="12"/>
      <c r="AQ81" s="12"/>
      <c r="AR81" s="19"/>
      <c r="AS81" s="19"/>
      <c r="AT81" s="19"/>
      <c r="AU81" s="19"/>
      <c r="AV81" s="19"/>
      <c r="AW81" s="12"/>
      <c r="AX81" s="12"/>
      <c r="AY81" s="12"/>
      <c r="AZ81" s="12"/>
      <c r="BA81" s="12"/>
      <c r="BB81" s="12"/>
      <c r="BC81" s="136">
        <f t="shared" si="6"/>
        <v>0</v>
      </c>
      <c r="BD81" s="633"/>
    </row>
    <row r="82" spans="1:57">
      <c r="A82" s="174"/>
      <c r="B82" s="175"/>
      <c r="C82" s="176"/>
      <c r="D82" s="176"/>
      <c r="T82" s="177"/>
      <c r="U82" s="179"/>
      <c r="V82" s="180"/>
      <c r="W82" s="180"/>
      <c r="X82" s="180"/>
      <c r="Y82" s="181"/>
      <c r="Z82" s="181"/>
      <c r="AA82" s="181"/>
      <c r="AB82" s="180"/>
      <c r="AC82" s="180"/>
      <c r="AD82" s="181"/>
      <c r="AE82" s="180"/>
      <c r="AF82" s="180"/>
      <c r="AG82" s="180"/>
      <c r="AH82" s="180"/>
      <c r="AI82" s="180"/>
      <c r="AJ82" s="180"/>
      <c r="AK82" s="180"/>
      <c r="AM82" s="247"/>
      <c r="AN82" s="195"/>
      <c r="AO82" s="31"/>
      <c r="AP82" s="31"/>
      <c r="AQ82" s="31"/>
      <c r="AR82" s="18"/>
      <c r="AS82" s="18"/>
      <c r="AT82" s="18"/>
      <c r="AU82" s="18"/>
      <c r="AV82" s="18"/>
      <c r="AW82" s="31"/>
      <c r="AX82" s="31"/>
      <c r="AY82" s="31"/>
      <c r="AZ82" s="31"/>
      <c r="BA82" s="31"/>
      <c r="BB82" s="31"/>
      <c r="BC82" s="32">
        <f t="shared" si="6"/>
        <v>0</v>
      </c>
      <c r="BD82" s="633"/>
    </row>
    <row r="83" spans="1:57" ht="15" thickBot="1">
      <c r="A83" s="174"/>
      <c r="B83" s="175"/>
      <c r="C83" s="176"/>
      <c r="D83" s="176"/>
      <c r="T83" s="177"/>
      <c r="U83" s="179"/>
      <c r="V83" s="180"/>
      <c r="W83" s="180"/>
      <c r="X83" s="181"/>
      <c r="Y83" s="181"/>
      <c r="Z83" s="181"/>
      <c r="AA83" s="181"/>
      <c r="AB83" s="181"/>
      <c r="AC83" s="181"/>
      <c r="AD83" s="182"/>
      <c r="AE83" s="180"/>
      <c r="AF83" s="180"/>
      <c r="AG83" s="180"/>
      <c r="AH83" s="180"/>
      <c r="AI83" s="180"/>
      <c r="AJ83" s="180"/>
      <c r="AK83" s="180"/>
      <c r="AM83" s="239"/>
      <c r="AN83" s="197"/>
      <c r="AO83" s="202"/>
      <c r="AP83" s="202"/>
      <c r="AQ83" s="202"/>
      <c r="AR83" s="207"/>
      <c r="AS83" s="207"/>
      <c r="AT83" s="207"/>
      <c r="AU83" s="207"/>
      <c r="AV83" s="207"/>
      <c r="AW83" s="202"/>
      <c r="AX83" s="202"/>
      <c r="AY83" s="202"/>
      <c r="AZ83" s="202"/>
      <c r="BA83" s="202"/>
      <c r="BB83" s="202"/>
      <c r="BC83" s="203">
        <f t="shared" si="6"/>
        <v>0</v>
      </c>
      <c r="BD83" s="634"/>
    </row>
    <row r="84" spans="1:57">
      <c r="A84" s="174"/>
      <c r="B84" s="175"/>
      <c r="C84" s="176"/>
      <c r="D84" s="176"/>
      <c r="T84" s="177"/>
      <c r="U84" s="179"/>
      <c r="V84" s="180"/>
      <c r="W84" s="180"/>
      <c r="X84" s="181"/>
      <c r="Y84" s="181"/>
      <c r="Z84" s="181"/>
      <c r="AA84" s="181"/>
      <c r="AB84" s="181"/>
      <c r="AC84" s="180"/>
      <c r="AD84" s="181"/>
      <c r="AE84" s="180"/>
      <c r="AF84" s="180"/>
      <c r="AG84" s="180"/>
      <c r="AH84" s="180"/>
      <c r="AI84" s="180"/>
      <c r="AJ84" s="180"/>
      <c r="AK84" s="180"/>
      <c r="AM84" s="247"/>
      <c r="AN84" s="195"/>
      <c r="AO84" s="12"/>
      <c r="AP84" s="12"/>
      <c r="AQ84" s="12"/>
      <c r="AR84" s="19"/>
      <c r="AS84" s="19"/>
      <c r="AT84" s="19"/>
      <c r="AU84" s="19"/>
      <c r="AV84" s="19"/>
      <c r="AW84" s="12"/>
      <c r="AX84" s="12"/>
      <c r="AY84" s="12"/>
      <c r="AZ84" s="12"/>
      <c r="BA84" s="12"/>
      <c r="BB84" s="12"/>
      <c r="BC84" s="215">
        <f t="shared" si="6"/>
        <v>0</v>
      </c>
      <c r="BD84" s="643"/>
    </row>
    <row r="85" spans="1:57">
      <c r="A85" s="174"/>
      <c r="B85" s="175"/>
      <c r="C85" s="174"/>
      <c r="D85" s="174"/>
      <c r="G85" s="178"/>
      <c r="H85" s="178"/>
      <c r="I85" s="178"/>
      <c r="T85" s="177"/>
      <c r="U85" s="179"/>
      <c r="V85" s="183"/>
      <c r="W85" s="183"/>
      <c r="X85" s="184"/>
      <c r="Y85" s="183"/>
      <c r="Z85" s="184"/>
      <c r="AA85" s="184"/>
      <c r="AB85" s="184"/>
      <c r="AC85" s="183"/>
      <c r="AD85" s="183"/>
      <c r="AE85" s="183"/>
      <c r="AF85" s="183"/>
      <c r="AG85" s="183"/>
      <c r="AH85" s="183"/>
      <c r="AI85" s="183"/>
      <c r="AJ85" s="180"/>
      <c r="AK85" s="180"/>
      <c r="AM85" s="247"/>
      <c r="AN85" s="195"/>
      <c r="AO85" s="12"/>
      <c r="AP85" s="12"/>
      <c r="AQ85" s="12"/>
      <c r="AR85" s="19"/>
      <c r="AS85" s="19"/>
      <c r="AT85" s="19"/>
      <c r="AU85" s="19"/>
      <c r="AV85" s="19"/>
      <c r="AW85" s="12"/>
      <c r="AX85" s="12"/>
      <c r="AY85" s="12"/>
      <c r="AZ85" s="12"/>
      <c r="BA85" s="12"/>
      <c r="BB85" s="12"/>
      <c r="BC85" s="215">
        <f t="shared" ref="BC85:BC90" si="8">SUM(AQ85:BB85)</f>
        <v>0</v>
      </c>
      <c r="BD85" s="633"/>
    </row>
    <row r="86" spans="1:57">
      <c r="A86" s="174"/>
      <c r="B86" s="175"/>
      <c r="C86" s="174"/>
      <c r="D86" s="174"/>
      <c r="G86" s="178"/>
      <c r="H86" s="178"/>
      <c r="I86" s="178"/>
      <c r="T86" s="177"/>
      <c r="U86" s="179"/>
      <c r="V86" s="183"/>
      <c r="W86" s="183"/>
      <c r="X86" s="184"/>
      <c r="Y86" s="183"/>
      <c r="Z86" s="184"/>
      <c r="AA86" s="184"/>
      <c r="AB86" s="184"/>
      <c r="AC86" s="183"/>
      <c r="AD86" s="183"/>
      <c r="AE86" s="183"/>
      <c r="AF86" s="183"/>
      <c r="AG86" s="183"/>
      <c r="AH86" s="183"/>
      <c r="AI86" s="183"/>
      <c r="AJ86" s="180"/>
      <c r="AK86" s="180"/>
      <c r="AM86" s="247"/>
      <c r="AN86" s="248"/>
      <c r="AO86" s="12"/>
      <c r="AP86" s="12"/>
      <c r="AQ86" s="12"/>
      <c r="AR86" s="19"/>
      <c r="AS86" s="19"/>
      <c r="AT86" s="19"/>
      <c r="AU86" s="19"/>
      <c r="AV86" s="19"/>
      <c r="AW86" s="12"/>
      <c r="AX86" s="12"/>
      <c r="AY86" s="12"/>
      <c r="AZ86" s="12"/>
      <c r="BA86" s="12"/>
      <c r="BB86" s="12"/>
      <c r="BC86" s="215">
        <f t="shared" si="8"/>
        <v>0</v>
      </c>
      <c r="BD86" s="633"/>
    </row>
    <row r="87" spans="1:57" ht="15" thickBot="1">
      <c r="A87" s="174"/>
      <c r="B87" s="175"/>
      <c r="C87" s="174"/>
      <c r="D87" s="174"/>
      <c r="G87" s="178"/>
      <c r="H87" s="178"/>
      <c r="I87" s="178"/>
      <c r="T87" s="177"/>
      <c r="U87" s="179"/>
      <c r="V87" s="183"/>
      <c r="W87" s="183"/>
      <c r="X87" s="184"/>
      <c r="Y87" s="183"/>
      <c r="Z87" s="184"/>
      <c r="AA87" s="184"/>
      <c r="AB87" s="184"/>
      <c r="AC87" s="183"/>
      <c r="AD87" s="183"/>
      <c r="AE87" s="183"/>
      <c r="AF87" s="183"/>
      <c r="AG87" s="183"/>
      <c r="AH87" s="183"/>
      <c r="AI87" s="183"/>
      <c r="AJ87" s="180"/>
      <c r="AK87" s="180"/>
      <c r="AM87" s="239"/>
      <c r="AN87" s="254"/>
      <c r="AO87" s="202"/>
      <c r="AP87" s="202"/>
      <c r="AQ87" s="202"/>
      <c r="AR87" s="207"/>
      <c r="AS87" s="207"/>
      <c r="AT87" s="207"/>
      <c r="AU87" s="207"/>
      <c r="AV87" s="207"/>
      <c r="AW87" s="202"/>
      <c r="AX87" s="202"/>
      <c r="AY87" s="202"/>
      <c r="AZ87" s="202"/>
      <c r="BA87" s="202"/>
      <c r="BB87" s="202"/>
      <c r="BC87" s="249">
        <f t="shared" si="8"/>
        <v>0</v>
      </c>
      <c r="BD87" s="634"/>
    </row>
    <row r="88" spans="1:57">
      <c r="A88" s="174"/>
      <c r="B88" s="175"/>
      <c r="C88" s="174"/>
      <c r="D88" s="174"/>
      <c r="G88" s="178"/>
      <c r="H88" s="178"/>
      <c r="I88" s="178"/>
      <c r="T88" s="177"/>
      <c r="U88" s="179"/>
      <c r="V88" s="183"/>
      <c r="W88" s="183"/>
      <c r="X88" s="184"/>
      <c r="Y88" s="183"/>
      <c r="Z88" s="184"/>
      <c r="AA88" s="184"/>
      <c r="AB88" s="184"/>
      <c r="AC88" s="183"/>
      <c r="AD88" s="183"/>
      <c r="AE88" s="183"/>
      <c r="AF88" s="183"/>
      <c r="AG88" s="183"/>
      <c r="AH88" s="183"/>
      <c r="AI88" s="183"/>
      <c r="AJ88" s="180"/>
      <c r="AK88" s="180"/>
      <c r="AM88" s="253"/>
      <c r="AN88" s="250"/>
      <c r="AO88" s="256"/>
      <c r="AP88" s="256"/>
      <c r="AQ88" s="138"/>
      <c r="AR88" s="173"/>
      <c r="AS88" s="173"/>
      <c r="AT88" s="173"/>
      <c r="AU88" s="173"/>
      <c r="AV88" s="173"/>
      <c r="AW88" s="138"/>
      <c r="AX88" s="138"/>
      <c r="AY88" s="138"/>
      <c r="AZ88" s="138"/>
      <c r="BA88" s="138"/>
      <c r="BB88" s="138"/>
      <c r="BC88" s="356">
        <f t="shared" si="8"/>
        <v>0</v>
      </c>
      <c r="BD88" s="643"/>
    </row>
    <row r="89" spans="1:57">
      <c r="A89" s="174"/>
      <c r="B89" s="175"/>
      <c r="C89" s="174"/>
      <c r="D89" s="174"/>
      <c r="G89" s="178"/>
      <c r="H89" s="178"/>
      <c r="I89" s="178"/>
      <c r="T89" s="177"/>
      <c r="U89" s="179"/>
      <c r="V89" s="183"/>
      <c r="W89" s="183"/>
      <c r="X89" s="184"/>
      <c r="Y89" s="183"/>
      <c r="Z89" s="184"/>
      <c r="AA89" s="184"/>
      <c r="AB89" s="184"/>
      <c r="AC89" s="183"/>
      <c r="AD89" s="183"/>
      <c r="AE89" s="183"/>
      <c r="AF89" s="183"/>
      <c r="AG89" s="183"/>
      <c r="AH89" s="183"/>
      <c r="AI89" s="183"/>
      <c r="AJ89" s="180"/>
      <c r="AK89" s="180"/>
      <c r="AM89" s="247"/>
      <c r="AN89" s="195"/>
      <c r="AO89" s="33"/>
      <c r="AP89" s="33"/>
      <c r="AQ89" s="31"/>
      <c r="AR89" s="18"/>
      <c r="AS89" s="18"/>
      <c r="AT89" s="18"/>
      <c r="AU89" s="18"/>
      <c r="AV89" s="18"/>
      <c r="AW89" s="31"/>
      <c r="AX89" s="31"/>
      <c r="AY89" s="31"/>
      <c r="AZ89" s="31"/>
      <c r="BA89" s="31"/>
      <c r="BB89" s="31"/>
      <c r="BC89" s="32">
        <f t="shared" ref="BC89:BC97" si="9">SUM(AQ89:BB89)</f>
        <v>0</v>
      </c>
      <c r="BD89" s="633"/>
    </row>
    <row r="90" spans="1:57">
      <c r="A90" s="174"/>
      <c r="B90" s="175"/>
      <c r="C90" s="174"/>
      <c r="D90" s="174"/>
      <c r="G90" s="178"/>
      <c r="H90" s="178"/>
      <c r="I90" s="178"/>
      <c r="T90" s="177"/>
      <c r="U90" s="179"/>
      <c r="V90" s="183"/>
      <c r="W90" s="183"/>
      <c r="X90" s="184"/>
      <c r="Y90" s="184"/>
      <c r="Z90" s="184"/>
      <c r="AA90" s="184"/>
      <c r="AB90" s="184"/>
      <c r="AC90" s="184"/>
      <c r="AD90" s="183"/>
      <c r="AE90" s="183"/>
      <c r="AF90" s="184"/>
      <c r="AG90" s="183"/>
      <c r="AH90" s="183"/>
      <c r="AI90" s="183"/>
      <c r="AJ90" s="180"/>
      <c r="AK90" s="180"/>
      <c r="AM90" s="247"/>
      <c r="AN90" s="195"/>
      <c r="AO90" s="33"/>
      <c r="AP90" s="33"/>
      <c r="AQ90" s="31"/>
      <c r="AR90" s="19"/>
      <c r="AS90" s="19"/>
      <c r="AT90" s="19"/>
      <c r="AU90" s="19"/>
      <c r="AV90" s="19"/>
      <c r="AW90" s="12"/>
      <c r="AX90" s="12"/>
      <c r="AY90" s="12"/>
      <c r="AZ90" s="12"/>
      <c r="BA90" s="12"/>
      <c r="BB90" s="12"/>
      <c r="BC90" s="215">
        <f t="shared" si="8"/>
        <v>0</v>
      </c>
      <c r="BD90" s="633"/>
    </row>
    <row r="91" spans="1:57">
      <c r="A91" s="174"/>
      <c r="B91" s="175"/>
      <c r="C91" s="174"/>
      <c r="D91" s="174"/>
      <c r="G91" s="178"/>
      <c r="H91" s="178"/>
      <c r="I91" s="178"/>
      <c r="T91" s="177"/>
      <c r="U91" s="179"/>
      <c r="V91" s="183"/>
      <c r="W91" s="183"/>
      <c r="X91" s="184"/>
      <c r="Y91" s="183"/>
      <c r="Z91" s="184"/>
      <c r="AA91" s="184"/>
      <c r="AB91" s="184"/>
      <c r="AC91" s="183"/>
      <c r="AD91" s="183"/>
      <c r="AE91" s="183"/>
      <c r="AF91" s="183"/>
      <c r="AG91" s="183"/>
      <c r="AH91" s="183"/>
      <c r="AI91" s="183"/>
      <c r="AJ91" s="180"/>
      <c r="AK91" s="180"/>
      <c r="AM91" s="247"/>
      <c r="AN91" s="195"/>
      <c r="AO91" s="245"/>
      <c r="AP91" s="13"/>
      <c r="AQ91" s="12"/>
      <c r="AR91" s="18"/>
      <c r="AS91" s="18"/>
      <c r="AT91" s="18"/>
      <c r="AU91" s="18"/>
      <c r="AV91" s="18"/>
      <c r="AW91" s="31"/>
      <c r="AX91" s="31"/>
      <c r="AY91" s="31"/>
      <c r="AZ91" s="31"/>
      <c r="BA91" s="31"/>
      <c r="BB91" s="31"/>
      <c r="BC91" s="32">
        <f t="shared" si="9"/>
        <v>0</v>
      </c>
      <c r="BD91" s="633"/>
    </row>
    <row r="92" spans="1:57" ht="15" thickBot="1">
      <c r="A92" s="174"/>
      <c r="B92" s="175"/>
      <c r="C92" s="174"/>
      <c r="D92" s="174"/>
      <c r="G92" s="178"/>
      <c r="H92" s="178"/>
      <c r="I92" s="178"/>
      <c r="T92" s="177"/>
      <c r="U92" s="179"/>
      <c r="V92" s="183"/>
      <c r="W92" s="183"/>
      <c r="X92" s="184"/>
      <c r="Y92" s="183"/>
      <c r="Z92" s="184"/>
      <c r="AA92" s="184"/>
      <c r="AB92" s="184"/>
      <c r="AC92" s="183"/>
      <c r="AD92" s="183"/>
      <c r="AE92" s="183"/>
      <c r="AF92" s="183"/>
      <c r="AG92" s="183"/>
      <c r="AH92" s="183"/>
      <c r="AI92" s="183"/>
      <c r="AJ92" s="180"/>
      <c r="AK92" s="180"/>
      <c r="AM92" s="239"/>
      <c r="AN92" s="197"/>
      <c r="AO92" s="198"/>
      <c r="AP92" s="198"/>
      <c r="AQ92" s="141"/>
      <c r="AR92" s="171"/>
      <c r="AS92" s="171"/>
      <c r="AT92" s="171"/>
      <c r="AU92" s="171"/>
      <c r="AV92" s="171"/>
      <c r="AW92" s="141"/>
      <c r="AX92" s="141"/>
      <c r="AY92" s="141"/>
      <c r="AZ92" s="141"/>
      <c r="BA92" s="141"/>
      <c r="BB92" s="141"/>
      <c r="BC92" s="142">
        <f t="shared" si="9"/>
        <v>0</v>
      </c>
      <c r="BD92" s="634"/>
    </row>
    <row r="93" spans="1:57">
      <c r="A93" s="174"/>
      <c r="B93" s="175"/>
      <c r="C93" s="174"/>
      <c r="D93" s="174"/>
      <c r="G93" s="178"/>
      <c r="H93" s="178"/>
      <c r="I93" s="178"/>
      <c r="T93" s="177"/>
      <c r="U93" s="179"/>
      <c r="V93" s="183"/>
      <c r="W93" s="183"/>
      <c r="X93" s="184"/>
      <c r="Y93" s="183"/>
      <c r="Z93" s="184"/>
      <c r="AA93" s="184"/>
      <c r="AB93" s="184"/>
      <c r="AC93" s="183"/>
      <c r="AD93" s="183"/>
      <c r="AE93" s="183"/>
      <c r="AF93" s="183"/>
      <c r="AG93" s="183"/>
      <c r="AH93" s="183"/>
      <c r="AI93" s="183"/>
      <c r="AJ93" s="180"/>
      <c r="AK93" s="180"/>
      <c r="AM93" s="247"/>
      <c r="AN93" s="195"/>
      <c r="AO93" s="13"/>
      <c r="AP93" s="13"/>
      <c r="AQ93" s="12"/>
      <c r="AR93" s="19"/>
      <c r="AS93" s="19"/>
      <c r="AT93" s="19"/>
      <c r="AU93" s="19"/>
      <c r="AV93" s="19"/>
      <c r="AW93" s="12"/>
      <c r="AX93" s="12"/>
      <c r="AY93" s="12"/>
      <c r="AZ93" s="12"/>
      <c r="BA93" s="12"/>
      <c r="BB93" s="12"/>
      <c r="BC93" s="136">
        <f t="shared" si="9"/>
        <v>0</v>
      </c>
      <c r="BD93" s="643"/>
    </row>
    <row r="94" spans="1:57">
      <c r="A94" s="174"/>
      <c r="B94" s="175"/>
      <c r="C94" s="174"/>
      <c r="D94" s="174"/>
      <c r="G94" s="178"/>
      <c r="H94" s="178"/>
      <c r="I94" s="178"/>
      <c r="T94" s="177"/>
      <c r="U94" s="179"/>
      <c r="V94" s="183"/>
      <c r="W94" s="183"/>
      <c r="X94" s="184"/>
      <c r="Y94" s="183"/>
      <c r="Z94" s="184"/>
      <c r="AA94" s="184"/>
      <c r="AB94" s="184"/>
      <c r="AC94" s="183"/>
      <c r="AD94" s="183"/>
      <c r="AE94" s="183"/>
      <c r="AF94" s="183"/>
      <c r="AG94" s="183"/>
      <c r="AH94" s="183"/>
      <c r="AI94" s="183"/>
      <c r="AJ94" s="180"/>
      <c r="AK94" s="180"/>
      <c r="AM94" s="247"/>
      <c r="AN94" s="248"/>
      <c r="AO94" s="33"/>
      <c r="AP94" s="33"/>
      <c r="AQ94" s="31"/>
      <c r="AR94" s="18"/>
      <c r="AS94" s="18"/>
      <c r="AT94" s="18"/>
      <c r="AU94" s="18"/>
      <c r="AV94" s="18"/>
      <c r="AW94" s="31"/>
      <c r="AX94" s="31"/>
      <c r="AY94" s="31"/>
      <c r="AZ94" s="31"/>
      <c r="BA94" s="31"/>
      <c r="BB94" s="31"/>
      <c r="BC94" s="215">
        <f t="shared" si="9"/>
        <v>0</v>
      </c>
      <c r="BD94" s="633"/>
    </row>
    <row r="95" spans="1:57" ht="16">
      <c r="A95" s="174"/>
      <c r="B95" s="175"/>
      <c r="C95" s="174"/>
      <c r="D95" s="174"/>
      <c r="G95" s="178"/>
      <c r="H95" s="178"/>
      <c r="I95" s="178"/>
      <c r="T95" s="177"/>
      <c r="U95" s="179"/>
      <c r="V95" s="183"/>
      <c r="W95" s="183"/>
      <c r="X95" s="184"/>
      <c r="Y95" s="184"/>
      <c r="Z95" s="184"/>
      <c r="AA95" s="184"/>
      <c r="AB95" s="184"/>
      <c r="AC95" s="184"/>
      <c r="AD95" s="183"/>
      <c r="AE95" s="183"/>
      <c r="AF95" s="184"/>
      <c r="AG95" s="183"/>
      <c r="AH95" s="183"/>
      <c r="AI95" s="183"/>
      <c r="AJ95" s="180"/>
      <c r="AK95" s="180"/>
      <c r="AM95" s="247"/>
      <c r="AN95" s="248"/>
      <c r="AO95" s="12"/>
      <c r="AP95" s="12"/>
      <c r="AQ95" s="12"/>
      <c r="AR95" s="19"/>
      <c r="AS95" s="19"/>
      <c r="AT95" s="19"/>
      <c r="AU95" s="19"/>
      <c r="AV95" s="19"/>
      <c r="AW95" s="12"/>
      <c r="AX95" s="12"/>
      <c r="AY95" s="12"/>
      <c r="AZ95" s="12"/>
      <c r="BA95" s="12"/>
      <c r="BB95" s="12"/>
      <c r="BC95" s="215">
        <f t="shared" si="9"/>
        <v>0</v>
      </c>
      <c r="BD95" s="633"/>
      <c r="BE95" s="409"/>
    </row>
    <row r="96" spans="1:57" ht="15" thickBot="1">
      <c r="A96" s="174"/>
      <c r="B96" s="175"/>
      <c r="C96" s="174"/>
      <c r="D96" s="174"/>
      <c r="G96" s="178"/>
      <c r="H96" s="178"/>
      <c r="I96" s="178"/>
      <c r="T96" s="177"/>
      <c r="U96" s="179"/>
      <c r="V96" s="183"/>
      <c r="W96" s="183"/>
      <c r="X96" s="184"/>
      <c r="Y96" s="183"/>
      <c r="Z96" s="184"/>
      <c r="AA96" s="184"/>
      <c r="AB96" s="184"/>
      <c r="AC96" s="183"/>
      <c r="AD96" s="183"/>
      <c r="AE96" s="183"/>
      <c r="AF96" s="183"/>
      <c r="AG96" s="183"/>
      <c r="AH96" s="183"/>
      <c r="AI96" s="183"/>
      <c r="AJ96" s="180"/>
      <c r="AK96" s="180"/>
      <c r="AM96" s="239"/>
      <c r="AN96" s="254"/>
      <c r="AO96" s="198"/>
      <c r="AP96" s="198"/>
      <c r="AQ96" s="202"/>
      <c r="AR96" s="207"/>
      <c r="AS96" s="207"/>
      <c r="AT96" s="207"/>
      <c r="AU96" s="207"/>
      <c r="AV96" s="207"/>
      <c r="AW96" s="202"/>
      <c r="AX96" s="202"/>
      <c r="AY96" s="202"/>
      <c r="AZ96" s="202"/>
      <c r="BA96" s="202"/>
      <c r="BB96" s="202"/>
      <c r="BC96" s="249">
        <f t="shared" si="9"/>
        <v>0</v>
      </c>
      <c r="BD96" s="634"/>
    </row>
    <row r="97" spans="1:56">
      <c r="A97" s="174"/>
      <c r="B97" s="175"/>
      <c r="C97" s="174"/>
      <c r="D97" s="174"/>
      <c r="G97" s="178"/>
      <c r="H97" s="178"/>
      <c r="I97" s="178"/>
      <c r="T97" s="177"/>
      <c r="U97" s="179"/>
      <c r="V97" s="183"/>
      <c r="W97" s="183"/>
      <c r="X97" s="184"/>
      <c r="Y97" s="184"/>
      <c r="Z97" s="184"/>
      <c r="AA97" s="184"/>
      <c r="AB97" s="184"/>
      <c r="AC97" s="184"/>
      <c r="AD97" s="183"/>
      <c r="AE97" s="183"/>
      <c r="AF97" s="184"/>
      <c r="AG97" s="183"/>
      <c r="AH97" s="183"/>
      <c r="AI97" s="183"/>
      <c r="AJ97" s="180"/>
      <c r="AK97" s="180"/>
      <c r="AM97" s="247"/>
      <c r="AN97" s="248"/>
      <c r="AO97" s="12"/>
      <c r="AP97" s="12"/>
      <c r="AQ97" s="12"/>
      <c r="AR97" s="19"/>
      <c r="AS97" s="19"/>
      <c r="AT97" s="19"/>
      <c r="AU97" s="19"/>
      <c r="AV97" s="19"/>
      <c r="AW97" s="12"/>
      <c r="AX97" s="12"/>
      <c r="AY97" s="12"/>
      <c r="AZ97" s="12"/>
      <c r="BA97" s="12"/>
      <c r="BB97" s="12"/>
      <c r="BC97" s="215">
        <f t="shared" si="9"/>
        <v>0</v>
      </c>
      <c r="BD97" s="639"/>
    </row>
    <row r="98" spans="1:56">
      <c r="A98" s="174"/>
      <c r="B98" s="175"/>
      <c r="C98" s="174"/>
      <c r="D98" s="174"/>
      <c r="G98" s="178"/>
      <c r="H98" s="178"/>
      <c r="I98" s="178"/>
      <c r="T98" s="177"/>
      <c r="U98" s="179"/>
      <c r="V98" s="183"/>
      <c r="W98" s="183"/>
      <c r="X98" s="184"/>
      <c r="Y98" s="183"/>
      <c r="Z98" s="184"/>
      <c r="AA98" s="184"/>
      <c r="AB98" s="184"/>
      <c r="AC98" s="183"/>
      <c r="AD98" s="183"/>
      <c r="AE98" s="183"/>
      <c r="AF98" s="183"/>
      <c r="AG98" s="183"/>
      <c r="AH98" s="183"/>
      <c r="AI98" s="183"/>
      <c r="AJ98" s="180"/>
      <c r="AK98" s="180"/>
      <c r="AM98" s="247"/>
      <c r="AN98" s="248"/>
      <c r="AO98" s="245"/>
      <c r="AP98" s="245"/>
      <c r="AQ98" s="12"/>
      <c r="AR98" s="19"/>
      <c r="AS98" s="19"/>
      <c r="AT98" s="19"/>
      <c r="AU98" s="19"/>
      <c r="AV98" s="19"/>
      <c r="AW98" s="12"/>
      <c r="AX98" s="12"/>
      <c r="AY98" s="12"/>
      <c r="AZ98" s="12"/>
      <c r="BA98" s="12"/>
      <c r="BB98" s="12"/>
      <c r="BC98" s="215">
        <f t="shared" ref="BC98:BC107" si="10">SUM(AQ98:BB98)</f>
        <v>0</v>
      </c>
      <c r="BD98" s="640"/>
    </row>
    <row r="99" spans="1:56" ht="15" thickBot="1">
      <c r="A99" s="174"/>
      <c r="B99" s="175"/>
      <c r="C99" s="174"/>
      <c r="D99" s="174"/>
      <c r="G99" s="178"/>
      <c r="H99" s="178"/>
      <c r="I99" s="178"/>
      <c r="T99" s="177"/>
      <c r="U99" s="179"/>
      <c r="V99" s="183"/>
      <c r="W99" s="183"/>
      <c r="X99" s="184"/>
      <c r="Y99" s="183"/>
      <c r="Z99" s="184"/>
      <c r="AA99" s="184"/>
      <c r="AB99" s="184"/>
      <c r="AC99" s="183"/>
      <c r="AD99" s="183"/>
      <c r="AE99" s="183"/>
      <c r="AF99" s="183"/>
      <c r="AG99" s="183"/>
      <c r="AH99" s="183"/>
      <c r="AI99" s="183"/>
      <c r="AJ99" s="180"/>
      <c r="AK99" s="180"/>
      <c r="AM99" s="239"/>
      <c r="AN99" s="254"/>
      <c r="AO99" s="198"/>
      <c r="AP99" s="198"/>
      <c r="AQ99" s="202"/>
      <c r="AR99" s="207"/>
      <c r="AS99" s="207"/>
      <c r="AT99" s="207"/>
      <c r="AU99" s="207"/>
      <c r="AV99" s="207"/>
      <c r="AW99" s="202"/>
      <c r="AX99" s="202"/>
      <c r="AY99" s="202"/>
      <c r="AZ99" s="202"/>
      <c r="BA99" s="202"/>
      <c r="BB99" s="202"/>
      <c r="BC99" s="249">
        <f t="shared" si="10"/>
        <v>0</v>
      </c>
      <c r="BD99" s="641"/>
    </row>
    <row r="100" spans="1:56">
      <c r="A100" s="174"/>
      <c r="B100" s="175"/>
      <c r="C100" s="174"/>
      <c r="D100" s="174"/>
      <c r="G100" s="178"/>
      <c r="H100" s="178"/>
      <c r="I100" s="178"/>
      <c r="T100" s="177"/>
      <c r="U100" s="179"/>
      <c r="V100" s="183"/>
      <c r="W100" s="183"/>
      <c r="X100" s="184"/>
      <c r="Y100" s="183"/>
      <c r="Z100" s="184"/>
      <c r="AA100" s="184"/>
      <c r="AB100" s="184"/>
      <c r="AC100" s="183"/>
      <c r="AD100" s="183"/>
      <c r="AE100" s="183"/>
      <c r="AF100" s="183"/>
      <c r="AG100" s="183"/>
      <c r="AH100" s="183"/>
      <c r="AI100" s="183"/>
      <c r="AJ100" s="180"/>
      <c r="AK100" s="180"/>
      <c r="AM100" s="253"/>
      <c r="AN100" s="250"/>
      <c r="AO100" s="256"/>
      <c r="AP100" s="256"/>
      <c r="AQ100" s="138"/>
      <c r="AR100" s="173"/>
      <c r="AS100" s="173"/>
      <c r="AT100" s="173"/>
      <c r="AU100" s="173"/>
      <c r="AV100" s="173"/>
      <c r="AW100" s="138"/>
      <c r="AX100" s="138"/>
      <c r="AY100" s="138"/>
      <c r="AZ100" s="138"/>
      <c r="BA100" s="138"/>
      <c r="BB100" s="138"/>
      <c r="BC100" s="356">
        <f>SUM(AQ100:BB100)</f>
        <v>0</v>
      </c>
      <c r="BD100" s="639"/>
    </row>
    <row r="101" spans="1:56">
      <c r="A101" s="174"/>
      <c r="B101" s="175"/>
      <c r="C101" s="174"/>
      <c r="D101" s="174"/>
      <c r="G101" s="178"/>
      <c r="H101" s="178"/>
      <c r="I101" s="178"/>
      <c r="T101" s="177"/>
      <c r="U101" s="179"/>
      <c r="V101" s="183"/>
      <c r="W101" s="183"/>
      <c r="X101" s="184"/>
      <c r="Y101" s="183"/>
      <c r="Z101" s="184"/>
      <c r="AA101" s="184"/>
      <c r="AB101" s="184"/>
      <c r="AC101" s="183"/>
      <c r="AD101" s="183"/>
      <c r="AE101" s="183"/>
      <c r="AF101" s="183"/>
      <c r="AG101" s="183"/>
      <c r="AH101" s="183"/>
      <c r="AI101" s="183"/>
      <c r="AJ101" s="180"/>
      <c r="AK101" s="180"/>
      <c r="AM101" s="247"/>
      <c r="AN101" s="248"/>
      <c r="AO101" s="245"/>
      <c r="AP101" s="245"/>
      <c r="AQ101" s="12"/>
      <c r="AR101" s="19"/>
      <c r="AS101" s="19"/>
      <c r="AT101" s="19"/>
      <c r="AU101" s="19"/>
      <c r="AV101" s="19"/>
      <c r="AW101" s="12"/>
      <c r="AX101" s="12"/>
      <c r="AY101" s="12"/>
      <c r="AZ101" s="12"/>
      <c r="BA101" s="12"/>
      <c r="BB101" s="12"/>
      <c r="BC101" s="244">
        <f t="shared" si="10"/>
        <v>0</v>
      </c>
      <c r="BD101" s="640"/>
    </row>
    <row r="102" spans="1:56" ht="15" thickBot="1">
      <c r="A102" s="174"/>
      <c r="B102" s="175"/>
      <c r="C102" s="174"/>
      <c r="D102" s="174"/>
      <c r="G102" s="178"/>
      <c r="H102" s="178"/>
      <c r="I102" s="178"/>
      <c r="T102" s="177"/>
      <c r="U102" s="179"/>
      <c r="V102" s="183"/>
      <c r="W102" s="183"/>
      <c r="X102" s="184"/>
      <c r="Y102" s="183"/>
      <c r="Z102" s="184"/>
      <c r="AA102" s="184"/>
      <c r="AB102" s="184"/>
      <c r="AC102" s="183"/>
      <c r="AD102" s="183"/>
      <c r="AE102" s="183"/>
      <c r="AF102" s="183"/>
      <c r="AG102" s="183"/>
      <c r="AH102" s="183"/>
      <c r="AI102" s="183"/>
      <c r="AJ102" s="180"/>
      <c r="AK102" s="180"/>
      <c r="AM102" s="239"/>
      <c r="AN102" s="254"/>
      <c r="AO102" s="251"/>
      <c r="AP102" s="251"/>
      <c r="AQ102" s="202"/>
      <c r="AR102" s="207"/>
      <c r="AS102" s="207"/>
      <c r="AT102" s="207"/>
      <c r="AU102" s="207"/>
      <c r="AV102" s="207"/>
      <c r="AW102" s="202"/>
      <c r="AX102" s="202"/>
      <c r="AY102" s="202"/>
      <c r="AZ102" s="202"/>
      <c r="BA102" s="202"/>
      <c r="BB102" s="202"/>
      <c r="BC102" s="142">
        <f>SUM(AQ102:BB102)</f>
        <v>0</v>
      </c>
      <c r="BD102" s="641"/>
    </row>
    <row r="103" spans="1:56">
      <c r="A103" s="174"/>
      <c r="B103" s="175"/>
      <c r="C103" s="174"/>
      <c r="D103" s="174"/>
      <c r="G103" s="178"/>
      <c r="H103" s="178"/>
      <c r="I103" s="178"/>
      <c r="T103" s="177"/>
      <c r="U103" s="179"/>
      <c r="V103" s="183"/>
      <c r="W103" s="183"/>
      <c r="X103" s="184"/>
      <c r="Y103" s="183"/>
      <c r="Z103" s="184"/>
      <c r="AA103" s="184"/>
      <c r="AB103" s="184"/>
      <c r="AC103" s="183"/>
      <c r="AD103" s="183"/>
      <c r="AE103" s="183"/>
      <c r="AF103" s="183"/>
      <c r="AG103" s="183"/>
      <c r="AH103" s="183"/>
      <c r="AI103" s="183"/>
      <c r="AJ103" s="180"/>
      <c r="AK103" s="180"/>
      <c r="AM103" s="454"/>
      <c r="AN103" s="455"/>
      <c r="AO103" s="256"/>
      <c r="AP103" s="256"/>
      <c r="AQ103" s="138"/>
      <c r="AR103" s="173"/>
      <c r="AS103" s="173"/>
      <c r="AT103" s="173"/>
      <c r="AU103" s="173"/>
      <c r="AV103" s="173"/>
      <c r="AW103" s="138"/>
      <c r="AX103" s="138"/>
      <c r="AY103" s="138"/>
      <c r="AZ103" s="138"/>
      <c r="BA103" s="173"/>
      <c r="BB103" s="138"/>
      <c r="BC103" s="356">
        <f>SUM(AQ103:BB103)</f>
        <v>0</v>
      </c>
      <c r="BD103" s="639"/>
    </row>
    <row r="104" spans="1:56">
      <c r="A104" s="174"/>
      <c r="B104" s="175"/>
      <c r="C104" s="174"/>
      <c r="D104" s="174"/>
      <c r="G104" s="178"/>
      <c r="H104" s="178"/>
      <c r="I104" s="178"/>
      <c r="T104" s="177"/>
      <c r="U104" s="179"/>
      <c r="V104" s="183"/>
      <c r="W104" s="183"/>
      <c r="X104" s="184"/>
      <c r="Y104" s="183"/>
      <c r="Z104" s="184"/>
      <c r="AA104" s="184"/>
      <c r="AB104" s="184"/>
      <c r="AC104" s="183"/>
      <c r="AD104" s="183"/>
      <c r="AE104" s="183"/>
      <c r="AF104" s="183"/>
      <c r="AG104" s="183"/>
      <c r="AH104" s="183"/>
      <c r="AI104" s="183"/>
      <c r="AJ104" s="180"/>
      <c r="AK104" s="180"/>
      <c r="AM104" s="247"/>
      <c r="AN104" s="195"/>
      <c r="AO104" s="13"/>
      <c r="AP104" s="13"/>
      <c r="AQ104" s="12"/>
      <c r="AR104" s="19"/>
      <c r="AS104" s="19"/>
      <c r="AT104" s="19"/>
      <c r="AU104" s="19"/>
      <c r="AV104" s="19"/>
      <c r="AW104" s="12"/>
      <c r="AX104" s="12"/>
      <c r="AY104" s="12"/>
      <c r="AZ104" s="12"/>
      <c r="BA104" s="12"/>
      <c r="BB104" s="12"/>
      <c r="BC104" s="215">
        <f>SUM(AQ104:BB104)</f>
        <v>0</v>
      </c>
      <c r="BD104" s="640"/>
    </row>
    <row r="105" spans="1:56">
      <c r="A105" s="174"/>
      <c r="B105" s="175"/>
      <c r="C105" s="174"/>
      <c r="D105" s="174"/>
      <c r="G105" s="178"/>
      <c r="H105" s="178"/>
      <c r="I105" s="178"/>
      <c r="T105" s="177"/>
      <c r="U105" s="179"/>
      <c r="V105" s="183"/>
      <c r="W105" s="183"/>
      <c r="X105" s="184"/>
      <c r="Y105" s="183"/>
      <c r="Z105" s="184"/>
      <c r="AA105" s="184"/>
      <c r="AB105" s="184"/>
      <c r="AC105" s="183"/>
      <c r="AD105" s="183"/>
      <c r="AE105" s="183"/>
      <c r="AF105" s="183"/>
      <c r="AG105" s="183"/>
      <c r="AH105" s="183"/>
      <c r="AI105" s="183"/>
      <c r="AJ105" s="180"/>
      <c r="AK105" s="180"/>
      <c r="AM105" s="247"/>
      <c r="AN105" s="248"/>
      <c r="AO105" s="13"/>
      <c r="AP105" s="13"/>
      <c r="AQ105" s="12"/>
      <c r="AR105" s="19"/>
      <c r="AS105" s="19"/>
      <c r="AT105" s="19"/>
      <c r="AU105" s="19"/>
      <c r="AV105" s="19"/>
      <c r="AW105" s="12"/>
      <c r="AX105" s="12"/>
      <c r="AY105" s="12"/>
      <c r="AZ105" s="12"/>
      <c r="BA105" s="12"/>
      <c r="BB105" s="12"/>
      <c r="BC105" s="215">
        <f t="shared" si="10"/>
        <v>0</v>
      </c>
      <c r="BD105" s="640"/>
    </row>
    <row r="106" spans="1:56">
      <c r="A106" s="174"/>
      <c r="B106" s="175"/>
      <c r="C106" s="174"/>
      <c r="D106" s="174"/>
      <c r="G106" s="178"/>
      <c r="H106" s="178"/>
      <c r="I106" s="178"/>
      <c r="T106" s="177"/>
      <c r="U106" s="179"/>
      <c r="V106" s="183"/>
      <c r="W106" s="183"/>
      <c r="X106" s="184"/>
      <c r="Y106" s="183"/>
      <c r="Z106" s="184"/>
      <c r="AA106" s="184"/>
      <c r="AB106" s="184"/>
      <c r="AC106" s="183"/>
      <c r="AD106" s="183"/>
      <c r="AE106" s="183"/>
      <c r="AF106" s="183"/>
      <c r="AG106" s="183"/>
      <c r="AH106" s="183"/>
      <c r="AI106" s="183"/>
      <c r="AJ106" s="180"/>
      <c r="AK106" s="180"/>
      <c r="AM106" s="247"/>
      <c r="AN106" s="248"/>
      <c r="AO106" s="13"/>
      <c r="AP106" s="13"/>
      <c r="AQ106" s="12"/>
      <c r="AR106" s="19"/>
      <c r="AS106" s="19"/>
      <c r="AT106" s="19"/>
      <c r="AU106" s="19"/>
      <c r="AV106" s="19"/>
      <c r="AW106" s="12"/>
      <c r="AX106" s="12"/>
      <c r="AY106" s="12"/>
      <c r="AZ106" s="12"/>
      <c r="BA106" s="12"/>
      <c r="BB106" s="12"/>
      <c r="BC106" s="32">
        <f t="shared" si="10"/>
        <v>0</v>
      </c>
      <c r="BD106" s="640"/>
    </row>
    <row r="107" spans="1:56">
      <c r="A107" s="174"/>
      <c r="B107" s="175"/>
      <c r="C107" s="174"/>
      <c r="D107" s="174"/>
      <c r="G107" s="178"/>
      <c r="H107" s="178"/>
      <c r="I107" s="178"/>
      <c r="T107" s="177"/>
      <c r="U107" s="179"/>
      <c r="V107" s="183"/>
      <c r="W107" s="183"/>
      <c r="X107" s="184"/>
      <c r="Y107" s="184"/>
      <c r="Z107" s="184"/>
      <c r="AA107" s="184"/>
      <c r="AB107" s="184"/>
      <c r="AC107" s="184"/>
      <c r="AD107" s="183"/>
      <c r="AE107" s="183"/>
      <c r="AF107" s="184"/>
      <c r="AG107" s="183"/>
      <c r="AH107" s="183"/>
      <c r="AI107" s="183"/>
      <c r="AJ107" s="180"/>
      <c r="AK107" s="180"/>
      <c r="AM107" s="247"/>
      <c r="AN107" s="248"/>
      <c r="AO107" s="13"/>
      <c r="AP107" s="13"/>
      <c r="AQ107" s="31"/>
      <c r="AR107" s="18"/>
      <c r="AS107" s="18"/>
      <c r="AT107" s="18"/>
      <c r="AU107" s="18"/>
      <c r="AV107" s="18"/>
      <c r="AW107" s="31"/>
      <c r="AX107" s="31"/>
      <c r="AY107" s="31"/>
      <c r="AZ107" s="31"/>
      <c r="BA107" s="31"/>
      <c r="BB107" s="31"/>
      <c r="BC107" s="32">
        <f t="shared" si="10"/>
        <v>0</v>
      </c>
      <c r="BD107" s="640"/>
    </row>
    <row r="108" spans="1:56">
      <c r="A108" s="174"/>
      <c r="B108" s="175"/>
      <c r="C108" s="174"/>
      <c r="D108" s="174"/>
      <c r="G108" s="178"/>
      <c r="H108" s="178"/>
      <c r="I108" s="178"/>
      <c r="T108" s="177"/>
      <c r="U108" s="179"/>
      <c r="V108" s="183"/>
      <c r="W108" s="183"/>
      <c r="X108" s="184"/>
      <c r="Y108" s="183"/>
      <c r="Z108" s="184"/>
      <c r="AA108" s="184"/>
      <c r="AB108" s="184"/>
      <c r="AC108" s="183"/>
      <c r="AD108" s="183"/>
      <c r="AE108" s="183"/>
      <c r="AF108" s="183"/>
      <c r="AG108" s="183"/>
      <c r="AH108" s="183"/>
      <c r="AI108" s="183"/>
      <c r="AJ108" s="180"/>
      <c r="AK108" s="180"/>
      <c r="AM108" s="247"/>
      <c r="AN108" s="248"/>
      <c r="AO108" s="13"/>
      <c r="AP108" s="13"/>
      <c r="AQ108" s="12"/>
      <c r="AR108" s="19"/>
      <c r="AS108" s="19"/>
      <c r="AT108" s="19"/>
      <c r="AU108" s="19"/>
      <c r="AV108" s="19"/>
      <c r="AW108" s="12"/>
      <c r="AX108" s="12"/>
      <c r="AY108" s="12"/>
      <c r="AZ108" s="12"/>
      <c r="BA108" s="12"/>
      <c r="BB108" s="12"/>
      <c r="BC108" s="215">
        <f t="shared" ref="BC108:BC113" si="11">SUM(AQ108:BB108)</f>
        <v>0</v>
      </c>
      <c r="BD108" s="640"/>
    </row>
    <row r="109" spans="1:56" ht="15" thickBot="1">
      <c r="A109" s="174"/>
      <c r="B109" s="175"/>
      <c r="C109" s="174"/>
      <c r="D109" s="174"/>
      <c r="G109" s="178"/>
      <c r="H109" s="178"/>
      <c r="I109" s="178"/>
      <c r="T109" s="177"/>
      <c r="U109" s="179"/>
      <c r="V109" s="183"/>
      <c r="W109" s="183"/>
      <c r="X109" s="184"/>
      <c r="Y109" s="183"/>
      <c r="Z109" s="184"/>
      <c r="AA109" s="184"/>
      <c r="AB109" s="184"/>
      <c r="AC109" s="183"/>
      <c r="AD109" s="183"/>
      <c r="AE109" s="183"/>
      <c r="AF109" s="183"/>
      <c r="AG109" s="183"/>
      <c r="AH109" s="183"/>
      <c r="AI109" s="183"/>
      <c r="AJ109" s="180"/>
      <c r="AK109" s="180"/>
      <c r="AM109" s="239"/>
      <c r="AN109" s="254"/>
      <c r="AO109" s="251"/>
      <c r="AP109" s="251"/>
      <c r="AQ109" s="202"/>
      <c r="AR109" s="207"/>
      <c r="AS109" s="207"/>
      <c r="AT109" s="207"/>
      <c r="AU109" s="207"/>
      <c r="AV109" s="207"/>
      <c r="AW109" s="202"/>
      <c r="AX109" s="202"/>
      <c r="AY109" s="202"/>
      <c r="AZ109" s="202"/>
      <c r="BA109" s="202"/>
      <c r="BB109" s="202"/>
      <c r="BC109" s="249">
        <f t="shared" si="11"/>
        <v>0</v>
      </c>
      <c r="BD109" s="226"/>
    </row>
    <row r="110" spans="1:56">
      <c r="A110" s="174"/>
      <c r="B110" s="175"/>
      <c r="C110" s="174"/>
      <c r="D110" s="174"/>
      <c r="G110" s="178"/>
      <c r="H110" s="178"/>
      <c r="I110" s="178"/>
      <c r="T110" s="177"/>
      <c r="U110" s="179"/>
      <c r="V110" s="183"/>
      <c r="W110" s="183"/>
      <c r="X110" s="184"/>
      <c r="Y110" s="184"/>
      <c r="Z110" s="184"/>
      <c r="AA110" s="184"/>
      <c r="AB110" s="184"/>
      <c r="AC110" s="184"/>
      <c r="AD110" s="183"/>
      <c r="AE110" s="183"/>
      <c r="AF110" s="184"/>
      <c r="AG110" s="183"/>
      <c r="AH110" s="183"/>
      <c r="AI110" s="183"/>
      <c r="AJ110" s="180"/>
      <c r="AK110" s="180"/>
      <c r="AM110" s="253"/>
      <c r="AN110" s="250"/>
      <c r="AO110" s="137"/>
      <c r="AP110" s="137"/>
      <c r="AQ110" s="138"/>
      <c r="AR110" s="173"/>
      <c r="AS110" s="173"/>
      <c r="AT110" s="173"/>
      <c r="AU110" s="173"/>
      <c r="AV110" s="173"/>
      <c r="AW110" s="138"/>
      <c r="AX110" s="138"/>
      <c r="AY110" s="138"/>
      <c r="AZ110" s="138"/>
      <c r="BA110" s="138"/>
      <c r="BB110" s="138"/>
      <c r="BC110" s="356">
        <f t="shared" si="11"/>
        <v>0</v>
      </c>
      <c r="BD110" s="639"/>
    </row>
    <row r="111" spans="1:56">
      <c r="A111" s="174"/>
      <c r="B111" s="175"/>
      <c r="C111" s="174"/>
      <c r="D111" s="174"/>
      <c r="G111" s="178"/>
      <c r="H111" s="178"/>
      <c r="I111" s="178"/>
      <c r="T111" s="177"/>
      <c r="U111" s="179"/>
      <c r="V111" s="183"/>
      <c r="W111" s="183"/>
      <c r="X111" s="184"/>
      <c r="Y111" s="183"/>
      <c r="Z111" s="184"/>
      <c r="AA111" s="184"/>
      <c r="AB111" s="184"/>
      <c r="AC111" s="183"/>
      <c r="AD111" s="183"/>
      <c r="AE111" s="183"/>
      <c r="AF111" s="183"/>
      <c r="AG111" s="183"/>
      <c r="AH111" s="183"/>
      <c r="AI111" s="183"/>
      <c r="AJ111" s="180"/>
      <c r="AK111" s="180"/>
      <c r="AM111" s="247"/>
      <c r="AN111" s="248"/>
      <c r="AO111" s="13"/>
      <c r="AP111" s="13"/>
      <c r="AQ111" s="12"/>
      <c r="AR111" s="19"/>
      <c r="AS111" s="19"/>
      <c r="AT111" s="19"/>
      <c r="AU111" s="19"/>
      <c r="AV111" s="19"/>
      <c r="AW111" s="12"/>
      <c r="AX111" s="12"/>
      <c r="AY111" s="12"/>
      <c r="AZ111" s="12"/>
      <c r="BA111" s="12"/>
      <c r="BB111" s="12"/>
      <c r="BC111" s="215">
        <f t="shared" si="11"/>
        <v>0</v>
      </c>
      <c r="BD111" s="640"/>
    </row>
    <row r="112" spans="1:56" ht="15" thickBot="1">
      <c r="A112" s="174"/>
      <c r="B112" s="175"/>
      <c r="C112" s="174"/>
      <c r="D112" s="174"/>
      <c r="G112" s="178"/>
      <c r="H112" s="178"/>
      <c r="I112" s="178"/>
      <c r="T112" s="177"/>
      <c r="U112" s="179"/>
      <c r="V112" s="183"/>
      <c r="W112" s="183"/>
      <c r="X112" s="184"/>
      <c r="Y112" s="184"/>
      <c r="Z112" s="184"/>
      <c r="AA112" s="184"/>
      <c r="AB112" s="184"/>
      <c r="AC112" s="184"/>
      <c r="AD112" s="183"/>
      <c r="AE112" s="183"/>
      <c r="AF112" s="184"/>
      <c r="AG112" s="183"/>
      <c r="AH112" s="183"/>
      <c r="AI112" s="183"/>
      <c r="AJ112" s="180"/>
      <c r="AK112" s="180"/>
      <c r="AM112" s="239"/>
      <c r="AN112" s="254"/>
      <c r="AO112" s="251"/>
      <c r="AP112" s="251"/>
      <c r="AQ112" s="202"/>
      <c r="AR112" s="207"/>
      <c r="AS112" s="207"/>
      <c r="AT112" s="207"/>
      <c r="AU112" s="207"/>
      <c r="AV112" s="207"/>
      <c r="AW112" s="202"/>
      <c r="AX112" s="202"/>
      <c r="AY112" s="202"/>
      <c r="AZ112" s="202"/>
      <c r="BA112" s="202"/>
      <c r="BB112" s="202"/>
      <c r="BC112" s="203">
        <f t="shared" si="11"/>
        <v>0</v>
      </c>
      <c r="BD112" s="641"/>
    </row>
    <row r="113" spans="1:56">
      <c r="A113" s="174"/>
      <c r="B113" s="175"/>
      <c r="C113" s="174"/>
      <c r="D113" s="174"/>
      <c r="G113" s="178"/>
      <c r="H113" s="178"/>
      <c r="I113" s="178"/>
      <c r="T113" s="177"/>
      <c r="U113" s="179"/>
      <c r="V113" s="183"/>
      <c r="W113" s="183"/>
      <c r="X113" s="184"/>
      <c r="Y113" s="183"/>
      <c r="Z113" s="184"/>
      <c r="AA113" s="184"/>
      <c r="AB113" s="184"/>
      <c r="AC113" s="183"/>
      <c r="AD113" s="183"/>
      <c r="AE113" s="183"/>
      <c r="AF113" s="183"/>
      <c r="AG113" s="183"/>
      <c r="AH113" s="183"/>
      <c r="AI113" s="183"/>
      <c r="AJ113" s="180"/>
      <c r="AK113" s="180"/>
      <c r="AM113" s="247"/>
      <c r="AN113" s="248"/>
      <c r="AO113" s="13"/>
      <c r="AP113" s="13"/>
      <c r="AQ113" s="12"/>
      <c r="AR113" s="19"/>
      <c r="AS113" s="19"/>
      <c r="AT113" s="19"/>
      <c r="AU113" s="19"/>
      <c r="AV113" s="19"/>
      <c r="AW113" s="12"/>
      <c r="AX113" s="12"/>
      <c r="AY113" s="12"/>
      <c r="AZ113" s="12"/>
      <c r="BA113" s="12"/>
      <c r="BB113" s="12"/>
      <c r="BC113" s="136">
        <f t="shared" si="11"/>
        <v>0</v>
      </c>
      <c r="BD113" s="639"/>
    </row>
    <row r="114" spans="1:56" ht="15" thickBot="1">
      <c r="A114" s="174"/>
      <c r="B114" s="175"/>
      <c r="C114" s="174"/>
      <c r="D114" s="174"/>
      <c r="G114" s="178"/>
      <c r="H114" s="178"/>
      <c r="I114" s="178"/>
      <c r="T114" s="177"/>
      <c r="U114" s="179"/>
      <c r="V114" s="183"/>
      <c r="W114" s="183"/>
      <c r="X114" s="184"/>
      <c r="Y114" s="184"/>
      <c r="Z114" s="184"/>
      <c r="AA114" s="184"/>
      <c r="AB114" s="184"/>
      <c r="AC114" s="184"/>
      <c r="AD114" s="183"/>
      <c r="AE114" s="183"/>
      <c r="AF114" s="184"/>
      <c r="AG114" s="183"/>
      <c r="AH114" s="183"/>
      <c r="AI114" s="183"/>
      <c r="AJ114" s="180"/>
      <c r="AK114" s="180"/>
      <c r="AM114" s="239"/>
      <c r="AN114" s="367"/>
      <c r="AO114" s="251"/>
      <c r="AP114" s="251"/>
      <c r="AQ114" s="141"/>
      <c r="AR114" s="171"/>
      <c r="AS114" s="171"/>
      <c r="AT114" s="171"/>
      <c r="AU114" s="171"/>
      <c r="AV114" s="171"/>
      <c r="AW114" s="141"/>
      <c r="AX114" s="141"/>
      <c r="AY114" s="141"/>
      <c r="AZ114" s="141"/>
      <c r="BA114" s="141"/>
      <c r="BB114" s="141"/>
      <c r="BC114" s="142">
        <f t="shared" ref="BC114:BC129" si="12">SUM(AQ114:BB114)</f>
        <v>0</v>
      </c>
      <c r="BD114" s="641"/>
    </row>
    <row r="115" spans="1:56">
      <c r="A115" s="174"/>
      <c r="B115" s="175"/>
      <c r="C115" s="174"/>
      <c r="D115" s="174"/>
      <c r="G115" s="178"/>
      <c r="H115" s="178"/>
      <c r="I115" s="178"/>
      <c r="T115" s="177"/>
      <c r="U115" s="179"/>
      <c r="V115" s="183"/>
      <c r="W115" s="183"/>
      <c r="X115" s="184"/>
      <c r="Y115" s="184"/>
      <c r="Z115" s="184"/>
      <c r="AA115" s="184"/>
      <c r="AB115" s="184"/>
      <c r="AC115" s="184"/>
      <c r="AD115" s="183"/>
      <c r="AE115" s="183"/>
      <c r="AF115" s="184"/>
      <c r="AG115" s="183"/>
      <c r="AH115" s="183"/>
      <c r="AI115" s="183"/>
      <c r="AJ115" s="180"/>
      <c r="AK115" s="180"/>
      <c r="AM115" s="253"/>
      <c r="AN115" s="371"/>
      <c r="AO115" s="137"/>
      <c r="AP115" s="137"/>
      <c r="AQ115" s="138"/>
      <c r="AR115" s="173"/>
      <c r="AS115" s="173"/>
      <c r="AT115" s="173"/>
      <c r="AU115" s="173"/>
      <c r="AV115" s="173"/>
      <c r="AW115" s="138"/>
      <c r="AX115" s="138"/>
      <c r="AY115" s="138"/>
      <c r="AZ115" s="138"/>
      <c r="BA115" s="138"/>
      <c r="BB115" s="138"/>
      <c r="BC115" s="139">
        <f t="shared" si="12"/>
        <v>0</v>
      </c>
      <c r="BD115" s="639"/>
    </row>
    <row r="116" spans="1:56">
      <c r="A116" s="174"/>
      <c r="B116" s="175"/>
      <c r="C116" s="174"/>
      <c r="D116" s="174"/>
      <c r="G116" s="178"/>
      <c r="H116" s="178"/>
      <c r="I116" s="178"/>
      <c r="T116" s="177"/>
      <c r="U116" s="179"/>
      <c r="V116" s="183"/>
      <c r="W116" s="183"/>
      <c r="X116" s="184"/>
      <c r="Y116" s="184"/>
      <c r="Z116" s="184"/>
      <c r="AA116" s="184"/>
      <c r="AB116" s="184"/>
      <c r="AC116" s="184"/>
      <c r="AD116" s="183"/>
      <c r="AE116" s="183"/>
      <c r="AF116" s="184"/>
      <c r="AG116" s="183"/>
      <c r="AH116" s="183"/>
      <c r="AI116" s="183"/>
      <c r="AJ116" s="180"/>
      <c r="AK116" s="180"/>
      <c r="AM116" s="247"/>
      <c r="AN116" s="258"/>
      <c r="AO116" s="13"/>
      <c r="AP116" s="13"/>
      <c r="AQ116" s="31"/>
      <c r="AR116" s="18"/>
      <c r="AS116" s="18"/>
      <c r="AT116" s="18"/>
      <c r="AU116" s="18"/>
      <c r="AV116" s="18"/>
      <c r="AW116" s="31"/>
      <c r="AX116" s="31"/>
      <c r="AY116" s="31"/>
      <c r="AZ116" s="31"/>
      <c r="BA116" s="18"/>
      <c r="BB116" s="31"/>
      <c r="BC116" s="32">
        <f t="shared" si="12"/>
        <v>0</v>
      </c>
      <c r="BD116" s="640"/>
    </row>
    <row r="117" spans="1:56" ht="15" thickBot="1">
      <c r="A117" s="174"/>
      <c r="B117" s="175"/>
      <c r="C117" s="174"/>
      <c r="D117" s="174"/>
      <c r="G117" s="178"/>
      <c r="H117" s="178"/>
      <c r="I117" s="178"/>
      <c r="T117" s="177"/>
      <c r="U117" s="179"/>
      <c r="V117" s="183"/>
      <c r="W117" s="183"/>
      <c r="X117" s="184"/>
      <c r="Y117" s="184"/>
      <c r="Z117" s="184"/>
      <c r="AA117" s="184"/>
      <c r="AB117" s="184"/>
      <c r="AC117" s="184"/>
      <c r="AD117" s="183"/>
      <c r="AE117" s="183"/>
      <c r="AF117" s="184"/>
      <c r="AG117" s="183"/>
      <c r="AH117" s="183"/>
      <c r="AI117" s="183"/>
      <c r="AJ117" s="180"/>
      <c r="AK117" s="180"/>
      <c r="AM117" s="239"/>
      <c r="AN117" s="367"/>
      <c r="AO117" s="251"/>
      <c r="AP117" s="251"/>
      <c r="AQ117" s="141"/>
      <c r="AR117" s="171"/>
      <c r="AS117" s="171"/>
      <c r="AT117" s="171"/>
      <c r="AU117" s="171"/>
      <c r="AV117" s="171"/>
      <c r="AW117" s="141"/>
      <c r="AX117" s="141"/>
      <c r="AY117" s="141"/>
      <c r="AZ117" s="141"/>
      <c r="BA117" s="141"/>
      <c r="BB117" s="171"/>
      <c r="BC117" s="142">
        <f t="shared" si="12"/>
        <v>0</v>
      </c>
      <c r="BD117" s="641"/>
    </row>
    <row r="118" spans="1:56">
      <c r="A118" s="174"/>
      <c r="B118" s="175"/>
      <c r="C118" s="174"/>
      <c r="D118" s="174"/>
      <c r="G118" s="178"/>
      <c r="H118" s="178"/>
      <c r="I118" s="178"/>
      <c r="T118" s="177"/>
      <c r="U118" s="179"/>
      <c r="V118" s="183"/>
      <c r="W118" s="183"/>
      <c r="X118" s="184"/>
      <c r="Y118" s="184"/>
      <c r="Z118" s="184"/>
      <c r="AA118" s="184"/>
      <c r="AB118" s="184"/>
      <c r="AC118" s="184"/>
      <c r="AD118" s="183"/>
      <c r="AE118" s="183"/>
      <c r="AF118" s="184"/>
      <c r="AG118" s="183"/>
      <c r="AH118" s="183"/>
      <c r="AI118" s="183"/>
      <c r="AJ118" s="180"/>
      <c r="AK118" s="180"/>
      <c r="AM118" s="454"/>
      <c r="AN118" s="456"/>
      <c r="AO118" s="137"/>
      <c r="AP118" s="137"/>
      <c r="AQ118" s="138"/>
      <c r="AR118" s="173"/>
      <c r="AS118" s="173"/>
      <c r="AT118" s="173"/>
      <c r="AU118" s="173"/>
      <c r="AV118" s="173"/>
      <c r="AW118" s="138"/>
      <c r="AX118" s="138"/>
      <c r="AY118" s="138"/>
      <c r="AZ118" s="138"/>
      <c r="BA118" s="138"/>
      <c r="BB118" s="138"/>
      <c r="BC118" s="139">
        <f t="shared" si="12"/>
        <v>0</v>
      </c>
      <c r="BD118" s="457"/>
    </row>
    <row r="119" spans="1:56">
      <c r="A119" s="174"/>
      <c r="B119" s="175"/>
      <c r="C119" s="174"/>
      <c r="D119" s="174"/>
      <c r="G119" s="178"/>
      <c r="H119" s="178"/>
      <c r="I119" s="178"/>
      <c r="T119" s="177"/>
      <c r="U119" s="179"/>
      <c r="V119" s="183"/>
      <c r="W119" s="183"/>
      <c r="X119" s="184"/>
      <c r="Y119" s="184"/>
      <c r="Z119" s="184"/>
      <c r="AA119" s="184"/>
      <c r="AB119" s="184"/>
      <c r="AC119" s="184"/>
      <c r="AD119" s="183"/>
      <c r="AE119" s="183"/>
      <c r="AF119" s="184"/>
      <c r="AG119" s="183"/>
      <c r="AH119" s="183"/>
      <c r="AI119" s="183"/>
      <c r="AJ119" s="180"/>
      <c r="AK119" s="180"/>
      <c r="AM119" s="247"/>
      <c r="AN119" s="258"/>
      <c r="AO119" s="13"/>
      <c r="AP119" s="13"/>
      <c r="AQ119" s="12"/>
      <c r="AR119" s="19"/>
      <c r="AS119" s="19"/>
      <c r="AT119" s="19"/>
      <c r="AU119" s="19"/>
      <c r="AV119" s="19"/>
      <c r="AW119" s="12"/>
      <c r="AX119" s="12"/>
      <c r="AY119" s="12"/>
      <c r="AZ119" s="12"/>
      <c r="BA119" s="12"/>
      <c r="BB119" s="12"/>
      <c r="BC119" s="136">
        <f t="shared" si="12"/>
        <v>0</v>
      </c>
      <c r="BD119" s="640"/>
    </row>
    <row r="120" spans="1:56">
      <c r="A120" s="174"/>
      <c r="B120" s="175"/>
      <c r="C120" s="174"/>
      <c r="D120" s="174"/>
      <c r="G120" s="178"/>
      <c r="H120" s="178"/>
      <c r="I120" s="178"/>
      <c r="T120" s="177"/>
      <c r="U120" s="179"/>
      <c r="V120" s="183"/>
      <c r="W120" s="183"/>
      <c r="X120" s="184"/>
      <c r="Y120" s="184"/>
      <c r="Z120" s="184"/>
      <c r="AA120" s="184"/>
      <c r="AB120" s="184"/>
      <c r="AC120" s="184"/>
      <c r="AD120" s="183"/>
      <c r="AE120" s="183"/>
      <c r="AF120" s="184"/>
      <c r="AG120" s="183"/>
      <c r="AH120" s="183"/>
      <c r="AI120" s="183"/>
      <c r="AJ120" s="180"/>
      <c r="AK120" s="180"/>
      <c r="AM120" s="247"/>
      <c r="AN120" s="258"/>
      <c r="AO120" s="13"/>
      <c r="AP120" s="13"/>
      <c r="AQ120" s="12"/>
      <c r="AR120" s="19"/>
      <c r="AS120" s="19"/>
      <c r="AT120" s="19"/>
      <c r="AU120" s="19"/>
      <c r="AV120" s="19"/>
      <c r="AW120" s="12"/>
      <c r="AX120" s="12"/>
      <c r="AY120" s="12"/>
      <c r="AZ120" s="12"/>
      <c r="BA120" s="12"/>
      <c r="BB120" s="12"/>
      <c r="BC120" s="136">
        <f>SUM(AQ120:BB120)</f>
        <v>0</v>
      </c>
      <c r="BD120" s="640"/>
    </row>
    <row r="121" spans="1:56">
      <c r="A121" s="174"/>
      <c r="B121" s="175"/>
      <c r="C121" s="174"/>
      <c r="D121" s="174"/>
      <c r="G121" s="178"/>
      <c r="H121" s="178"/>
      <c r="I121" s="178"/>
      <c r="T121" s="177"/>
      <c r="U121" s="179"/>
      <c r="V121" s="183"/>
      <c r="W121" s="183"/>
      <c r="X121" s="184"/>
      <c r="Y121" s="184"/>
      <c r="Z121" s="184"/>
      <c r="AA121" s="184"/>
      <c r="AB121" s="184"/>
      <c r="AC121" s="184"/>
      <c r="AD121" s="183"/>
      <c r="AE121" s="183"/>
      <c r="AF121" s="184"/>
      <c r="AG121" s="183"/>
      <c r="AH121" s="183"/>
      <c r="AI121" s="183"/>
      <c r="AJ121" s="180"/>
      <c r="AK121" s="180"/>
      <c r="AM121" s="247"/>
      <c r="AN121" s="258"/>
      <c r="AO121" s="13"/>
      <c r="AP121" s="13"/>
      <c r="AQ121" s="31"/>
      <c r="AR121" s="18"/>
      <c r="AS121" s="18"/>
      <c r="AT121" s="18"/>
      <c r="AU121" s="18"/>
      <c r="AV121" s="18"/>
      <c r="AW121" s="31"/>
      <c r="AX121" s="31"/>
      <c r="AY121" s="31"/>
      <c r="AZ121" s="31"/>
      <c r="BA121" s="31"/>
      <c r="BB121" s="31"/>
      <c r="BC121" s="32">
        <f>SUM(AQ121:BB121)</f>
        <v>0</v>
      </c>
      <c r="BD121" s="640"/>
    </row>
    <row r="122" spans="1:56" ht="15" thickBot="1">
      <c r="A122" s="174"/>
      <c r="B122" s="175"/>
      <c r="C122" s="174"/>
      <c r="D122" s="174"/>
      <c r="G122" s="178"/>
      <c r="H122" s="178"/>
      <c r="I122" s="178"/>
      <c r="T122" s="177"/>
      <c r="U122" s="179"/>
      <c r="V122" s="183"/>
      <c r="W122" s="183"/>
      <c r="X122" s="184"/>
      <c r="Y122" s="184"/>
      <c r="Z122" s="184"/>
      <c r="AA122" s="184"/>
      <c r="AB122" s="184"/>
      <c r="AC122" s="184"/>
      <c r="AD122" s="183"/>
      <c r="AE122" s="183"/>
      <c r="AF122" s="184"/>
      <c r="AG122" s="183"/>
      <c r="AH122" s="183"/>
      <c r="AI122" s="183"/>
      <c r="AJ122" s="180"/>
      <c r="AK122" s="180"/>
      <c r="AM122" s="239"/>
      <c r="AN122" s="367"/>
      <c r="AO122" s="251"/>
      <c r="AP122" s="251"/>
      <c r="AQ122" s="141"/>
      <c r="AR122" s="171"/>
      <c r="AS122" s="171"/>
      <c r="AT122" s="171"/>
      <c r="AU122" s="171"/>
      <c r="AV122" s="171"/>
      <c r="AW122" s="141"/>
      <c r="AX122" s="141"/>
      <c r="AY122" s="141"/>
      <c r="AZ122" s="141"/>
      <c r="BA122" s="141"/>
      <c r="BB122" s="141"/>
      <c r="BC122" s="142">
        <f>SUM(AQ122:BB122)</f>
        <v>0</v>
      </c>
      <c r="BD122" s="641"/>
    </row>
    <row r="123" spans="1:56">
      <c r="A123" s="174"/>
      <c r="B123" s="175"/>
      <c r="C123" s="174"/>
      <c r="D123" s="174"/>
      <c r="G123" s="178"/>
      <c r="H123" s="178"/>
      <c r="I123" s="178"/>
      <c r="T123" s="177"/>
      <c r="U123" s="179"/>
      <c r="V123" s="183"/>
      <c r="W123" s="183"/>
      <c r="X123" s="184"/>
      <c r="Y123" s="184"/>
      <c r="Z123" s="184"/>
      <c r="AA123" s="184"/>
      <c r="AB123" s="184"/>
      <c r="AC123" s="184"/>
      <c r="AD123" s="183"/>
      <c r="AE123" s="183"/>
      <c r="AF123" s="184"/>
      <c r="AG123" s="183"/>
      <c r="AH123" s="183"/>
      <c r="AI123" s="183"/>
      <c r="AJ123" s="180"/>
      <c r="AK123" s="180"/>
      <c r="AM123" s="247"/>
      <c r="AN123" s="258"/>
      <c r="AO123" s="13"/>
      <c r="AP123" s="13"/>
      <c r="AQ123" s="12"/>
      <c r="AR123" s="19"/>
      <c r="AS123" s="19"/>
      <c r="AT123" s="19"/>
      <c r="AU123" s="19"/>
      <c r="AV123" s="19"/>
      <c r="AW123" s="12"/>
      <c r="AX123" s="12"/>
      <c r="AY123" s="12"/>
      <c r="AZ123" s="12"/>
      <c r="BA123" s="12"/>
      <c r="BB123" s="12"/>
      <c r="BC123" s="136">
        <f>SUM(AQ123:BB123)</f>
        <v>0</v>
      </c>
      <c r="BD123" s="639"/>
    </row>
    <row r="124" spans="1:56">
      <c r="A124" s="174"/>
      <c r="B124" s="175"/>
      <c r="C124" s="174"/>
      <c r="D124" s="174"/>
      <c r="G124" s="178"/>
      <c r="H124" s="178"/>
      <c r="I124" s="178"/>
      <c r="T124" s="177"/>
      <c r="U124" s="179"/>
      <c r="V124" s="183"/>
      <c r="W124" s="183"/>
      <c r="X124" s="184"/>
      <c r="Y124" s="184"/>
      <c r="Z124" s="184"/>
      <c r="AA124" s="184"/>
      <c r="AB124" s="184"/>
      <c r="AC124" s="184"/>
      <c r="AD124" s="183"/>
      <c r="AE124" s="183"/>
      <c r="AF124" s="184"/>
      <c r="AG124" s="183"/>
      <c r="AH124" s="183"/>
      <c r="AI124" s="183"/>
      <c r="AJ124" s="180"/>
      <c r="AK124" s="180"/>
      <c r="AM124" s="247"/>
      <c r="AN124" s="258"/>
      <c r="AO124" s="13"/>
      <c r="AP124" s="13"/>
      <c r="AQ124" s="31"/>
      <c r="AR124" s="18"/>
      <c r="AS124" s="18"/>
      <c r="AT124" s="18"/>
      <c r="AU124" s="18"/>
      <c r="AV124" s="18"/>
      <c r="AW124" s="31"/>
      <c r="AX124" s="31"/>
      <c r="AY124" s="31"/>
      <c r="AZ124" s="31"/>
      <c r="BA124" s="31"/>
      <c r="BB124" s="31"/>
      <c r="BC124" s="32">
        <f>SUM(AQ124:BB124)</f>
        <v>0</v>
      </c>
      <c r="BD124" s="640"/>
    </row>
    <row r="125" spans="1:56">
      <c r="A125" s="174"/>
      <c r="B125" s="175"/>
      <c r="C125" s="174"/>
      <c r="D125" s="174"/>
      <c r="G125" s="178"/>
      <c r="H125" s="178"/>
      <c r="I125" s="178"/>
      <c r="T125" s="177"/>
      <c r="U125" s="179"/>
      <c r="V125" s="183"/>
      <c r="W125" s="183"/>
      <c r="X125" s="184"/>
      <c r="Y125" s="184"/>
      <c r="Z125" s="184"/>
      <c r="AA125" s="184"/>
      <c r="AB125" s="184"/>
      <c r="AC125" s="184"/>
      <c r="AD125" s="183"/>
      <c r="AE125" s="183"/>
      <c r="AF125" s="184"/>
      <c r="AG125" s="183"/>
      <c r="AH125" s="183"/>
      <c r="AI125" s="183"/>
      <c r="AJ125" s="180"/>
      <c r="AK125" s="180"/>
      <c r="AM125" s="247"/>
      <c r="AN125" s="195"/>
      <c r="AO125" s="245"/>
      <c r="AP125" s="245"/>
      <c r="AQ125" s="31"/>
      <c r="AR125" s="18"/>
      <c r="AS125" s="18"/>
      <c r="AT125" s="18"/>
      <c r="AU125" s="18"/>
      <c r="AV125" s="18"/>
      <c r="AW125" s="31"/>
      <c r="AX125" s="31"/>
      <c r="AY125" s="31"/>
      <c r="AZ125" s="31"/>
      <c r="BA125" s="31"/>
      <c r="BB125" s="31"/>
      <c r="BC125" s="32">
        <f t="shared" si="12"/>
        <v>0</v>
      </c>
      <c r="BD125" s="640"/>
    </row>
    <row r="126" spans="1:56" ht="15" thickBot="1">
      <c r="A126" s="174"/>
      <c r="B126" s="175"/>
      <c r="C126" s="174"/>
      <c r="D126" s="174"/>
      <c r="G126" s="178"/>
      <c r="H126" s="178"/>
      <c r="I126" s="178"/>
      <c r="T126" s="177"/>
      <c r="U126" s="179"/>
      <c r="V126" s="183"/>
      <c r="W126" s="183"/>
      <c r="X126" s="184"/>
      <c r="Y126" s="184"/>
      <c r="Z126" s="184"/>
      <c r="AA126" s="184"/>
      <c r="AB126" s="184"/>
      <c r="AC126" s="184"/>
      <c r="AD126" s="183"/>
      <c r="AE126" s="183"/>
      <c r="AF126" s="184"/>
      <c r="AG126" s="183"/>
      <c r="AH126" s="183"/>
      <c r="AI126" s="183"/>
      <c r="AJ126" s="180"/>
      <c r="AK126" s="180"/>
      <c r="AM126" s="239"/>
      <c r="AN126" s="254"/>
      <c r="AO126" s="198"/>
      <c r="AP126" s="198"/>
      <c r="AQ126" s="141"/>
      <c r="AR126" s="171"/>
      <c r="AS126" s="171"/>
      <c r="AT126" s="171"/>
      <c r="AU126" s="171"/>
      <c r="AV126" s="171"/>
      <c r="AW126" s="141"/>
      <c r="AX126" s="141"/>
      <c r="AY126" s="141"/>
      <c r="AZ126" s="141"/>
      <c r="BA126" s="141"/>
      <c r="BB126" s="141"/>
      <c r="BC126" s="142">
        <f t="shared" si="12"/>
        <v>0</v>
      </c>
      <c r="BD126" s="641"/>
    </row>
    <row r="127" spans="1:56">
      <c r="A127" s="174"/>
      <c r="B127" s="175"/>
      <c r="C127" s="174"/>
      <c r="D127" s="174"/>
      <c r="G127" s="178"/>
      <c r="H127" s="178"/>
      <c r="I127" s="178"/>
      <c r="T127" s="177"/>
      <c r="U127" s="179"/>
      <c r="V127" s="183"/>
      <c r="W127" s="183"/>
      <c r="X127" s="184"/>
      <c r="Y127" s="184"/>
      <c r="Z127" s="184"/>
      <c r="AA127" s="184"/>
      <c r="AB127" s="184"/>
      <c r="AC127" s="184"/>
      <c r="AD127" s="183"/>
      <c r="AE127" s="183"/>
      <c r="AF127" s="184"/>
      <c r="AG127" s="183"/>
      <c r="AH127" s="183"/>
      <c r="AI127" s="183"/>
      <c r="AJ127" s="180"/>
      <c r="AK127" s="180"/>
      <c r="AM127" s="253"/>
      <c r="AN127" s="250"/>
      <c r="AO127" s="256"/>
      <c r="AP127" s="256"/>
      <c r="AQ127" s="138"/>
      <c r="AR127" s="173"/>
      <c r="AS127" s="173"/>
      <c r="AT127" s="173"/>
      <c r="AU127" s="173"/>
      <c r="AV127" s="173"/>
      <c r="AW127" s="138"/>
      <c r="AX127" s="138"/>
      <c r="AY127" s="138"/>
      <c r="AZ127" s="138"/>
      <c r="BA127" s="138"/>
      <c r="BB127" s="138"/>
      <c r="BC127" s="139">
        <f t="shared" si="12"/>
        <v>0</v>
      </c>
      <c r="BD127" s="639"/>
    </row>
    <row r="128" spans="1:56">
      <c r="A128" s="174"/>
      <c r="B128" s="175"/>
      <c r="C128" s="174"/>
      <c r="D128" s="174"/>
      <c r="G128" s="178"/>
      <c r="H128" s="178"/>
      <c r="I128" s="178"/>
      <c r="T128" s="177"/>
      <c r="U128" s="179"/>
      <c r="V128" s="183"/>
      <c r="W128" s="183"/>
      <c r="X128" s="184"/>
      <c r="Y128" s="184"/>
      <c r="Z128" s="184"/>
      <c r="AA128" s="184"/>
      <c r="AB128" s="184"/>
      <c r="AC128" s="184"/>
      <c r="AD128" s="183"/>
      <c r="AE128" s="183"/>
      <c r="AF128" s="184"/>
      <c r="AG128" s="183"/>
      <c r="AH128" s="183"/>
      <c r="AI128" s="183"/>
      <c r="AJ128" s="180"/>
      <c r="AK128" s="180"/>
      <c r="AM128" s="247"/>
      <c r="AN128" s="248"/>
      <c r="AO128" s="245"/>
      <c r="AP128" s="12"/>
      <c r="AQ128" s="12"/>
      <c r="AR128" s="19"/>
      <c r="AS128" s="19"/>
      <c r="AT128" s="19"/>
      <c r="AU128" s="19"/>
      <c r="AV128" s="19"/>
      <c r="AW128" s="12"/>
      <c r="AX128" s="12"/>
      <c r="AY128" s="12"/>
      <c r="AZ128" s="12"/>
      <c r="BA128" s="12"/>
      <c r="BB128" s="12"/>
      <c r="BC128" s="136">
        <f t="shared" si="12"/>
        <v>0</v>
      </c>
      <c r="BD128" s="640"/>
    </row>
    <row r="129" spans="1:56">
      <c r="A129" s="174"/>
      <c r="B129" s="175"/>
      <c r="C129" s="174"/>
      <c r="D129" s="174"/>
      <c r="G129" s="178"/>
      <c r="H129" s="178"/>
      <c r="I129" s="178"/>
      <c r="T129" s="177"/>
      <c r="U129" s="179"/>
      <c r="V129" s="183"/>
      <c r="W129" s="183"/>
      <c r="X129" s="184"/>
      <c r="Y129" s="184"/>
      <c r="Z129" s="184"/>
      <c r="AA129" s="184"/>
      <c r="AB129" s="184"/>
      <c r="AC129" s="184"/>
      <c r="AD129" s="183"/>
      <c r="AE129" s="183"/>
      <c r="AF129" s="184"/>
      <c r="AG129" s="183"/>
      <c r="AH129" s="183"/>
      <c r="AI129" s="183"/>
      <c r="AJ129" s="180"/>
      <c r="AK129" s="180"/>
      <c r="AM129" s="247"/>
      <c r="AN129" s="248"/>
      <c r="AO129" s="246"/>
      <c r="AP129" s="246"/>
      <c r="AQ129" s="31"/>
      <c r="AR129" s="18"/>
      <c r="AS129" s="18"/>
      <c r="AT129" s="18"/>
      <c r="AU129" s="18"/>
      <c r="AV129" s="18"/>
      <c r="AW129" s="31"/>
      <c r="AX129" s="31"/>
      <c r="AY129" s="31"/>
      <c r="AZ129" s="31"/>
      <c r="BA129" s="31"/>
      <c r="BB129" s="31"/>
      <c r="BC129" s="32">
        <f t="shared" si="12"/>
        <v>0</v>
      </c>
      <c r="BD129" s="640"/>
    </row>
    <row r="130" spans="1:56">
      <c r="A130" s="174"/>
      <c r="B130" s="175"/>
      <c r="C130" s="174"/>
      <c r="D130" s="174"/>
      <c r="G130" s="178"/>
      <c r="H130" s="178"/>
      <c r="I130" s="178"/>
      <c r="T130" s="177"/>
      <c r="U130" s="179"/>
      <c r="V130" s="183"/>
      <c r="W130" s="183"/>
      <c r="X130" s="184"/>
      <c r="Y130" s="184"/>
      <c r="Z130" s="184"/>
      <c r="AA130" s="184"/>
      <c r="AB130" s="184"/>
      <c r="AC130" s="184"/>
      <c r="AD130" s="183"/>
      <c r="AE130" s="183"/>
      <c r="AF130" s="184"/>
      <c r="AG130" s="183"/>
      <c r="AH130" s="183"/>
      <c r="AI130" s="183"/>
      <c r="AJ130" s="180"/>
      <c r="AK130" s="180"/>
      <c r="AM130" s="247"/>
      <c r="AN130" s="258"/>
      <c r="AO130" s="31"/>
      <c r="AP130" s="31"/>
      <c r="AQ130" s="31"/>
      <c r="AR130" s="18"/>
      <c r="AS130" s="18"/>
      <c r="AT130" s="18"/>
      <c r="AU130" s="18"/>
      <c r="AV130" s="18"/>
      <c r="AW130" s="31"/>
      <c r="AX130" s="31"/>
      <c r="AY130" s="31"/>
      <c r="AZ130" s="31"/>
      <c r="BA130" s="31"/>
      <c r="BB130" s="31"/>
      <c r="BC130" s="32">
        <f t="shared" ref="BC130:BC135" si="13">SUM(AQ130:BB130)</f>
        <v>0</v>
      </c>
      <c r="BD130" s="640"/>
    </row>
    <row r="131" spans="1:56" ht="15" thickBot="1">
      <c r="A131" s="174"/>
      <c r="B131" s="175"/>
      <c r="C131" s="174"/>
      <c r="D131" s="174"/>
      <c r="G131" s="178"/>
      <c r="H131" s="178"/>
      <c r="I131" s="178"/>
      <c r="T131" s="177"/>
      <c r="U131" s="179"/>
      <c r="V131" s="183"/>
      <c r="W131" s="183"/>
      <c r="X131" s="184"/>
      <c r="Y131" s="184"/>
      <c r="Z131" s="184"/>
      <c r="AA131" s="184"/>
      <c r="AB131" s="184"/>
      <c r="AC131" s="184"/>
      <c r="AD131" s="183"/>
      <c r="AE131" s="183"/>
      <c r="AF131" s="184"/>
      <c r="AG131" s="183"/>
      <c r="AH131" s="183"/>
      <c r="AI131" s="183"/>
      <c r="AJ131" s="180"/>
      <c r="AK131" s="180"/>
      <c r="AM131" s="239"/>
      <c r="AN131" s="367"/>
      <c r="AO131" s="141"/>
      <c r="AP131" s="141"/>
      <c r="AQ131" s="141"/>
      <c r="AR131" s="171"/>
      <c r="AS131" s="171"/>
      <c r="AT131" s="171"/>
      <c r="AU131" s="171"/>
      <c r="AV131" s="171"/>
      <c r="AW131" s="141"/>
      <c r="AX131" s="141"/>
      <c r="AY131" s="141"/>
      <c r="AZ131" s="141"/>
      <c r="BA131" s="141"/>
      <c r="BB131" s="141"/>
      <c r="BC131" s="142">
        <f>SUM(AQ131:BB131)</f>
        <v>0</v>
      </c>
      <c r="BD131" s="641"/>
    </row>
    <row r="132" spans="1:56" ht="15" thickBot="1">
      <c r="A132" s="174"/>
      <c r="B132" s="175"/>
      <c r="C132" s="174"/>
      <c r="D132" s="174"/>
      <c r="G132" s="178"/>
      <c r="H132" s="178"/>
      <c r="I132" s="178"/>
      <c r="T132" s="177"/>
      <c r="U132" s="179"/>
      <c r="V132" s="183"/>
      <c r="W132" s="183"/>
      <c r="X132" s="184"/>
      <c r="Y132" s="184"/>
      <c r="Z132" s="184"/>
      <c r="AA132" s="184"/>
      <c r="AB132" s="184"/>
      <c r="AC132" s="184"/>
      <c r="AD132" s="183"/>
      <c r="AE132" s="183"/>
      <c r="AF132" s="184"/>
      <c r="AG132" s="183"/>
      <c r="AH132" s="183"/>
      <c r="AI132" s="183"/>
      <c r="AJ132" s="180"/>
      <c r="AK132" s="180"/>
      <c r="AM132" s="206"/>
      <c r="AN132" s="440"/>
      <c r="AO132" s="408"/>
      <c r="AP132" s="274"/>
      <c r="AQ132" s="274"/>
      <c r="AR132" s="441"/>
      <c r="AS132" s="441"/>
      <c r="AT132" s="441"/>
      <c r="AU132" s="441"/>
      <c r="AV132" s="441"/>
      <c r="AW132" s="274"/>
      <c r="AX132" s="274"/>
      <c r="AY132" s="274"/>
      <c r="AZ132" s="274"/>
      <c r="BA132" s="274"/>
      <c r="BB132" s="274"/>
      <c r="BC132" s="204">
        <f>SUM(AQ132:BB132)</f>
        <v>0</v>
      </c>
      <c r="BD132" s="205"/>
    </row>
    <row r="133" spans="1:56">
      <c r="A133" s="174"/>
      <c r="B133" s="175"/>
      <c r="C133" s="174"/>
      <c r="D133" s="174"/>
      <c r="G133" s="178"/>
      <c r="H133" s="178"/>
      <c r="I133" s="178"/>
      <c r="T133" s="177"/>
      <c r="U133" s="179"/>
      <c r="V133" s="183"/>
      <c r="W133" s="183"/>
      <c r="X133" s="184"/>
      <c r="Y133" s="184"/>
      <c r="Z133" s="184"/>
      <c r="AA133" s="184"/>
      <c r="AB133" s="184"/>
      <c r="AC133" s="184"/>
      <c r="AD133" s="183"/>
      <c r="AE133" s="183"/>
      <c r="AF133" s="184"/>
      <c r="AG133" s="183"/>
      <c r="AH133" s="183"/>
      <c r="AI133" s="183"/>
      <c r="AJ133" s="180"/>
      <c r="AK133" s="180"/>
      <c r="AM133" s="247"/>
      <c r="AN133" s="258"/>
      <c r="AO133" s="245"/>
      <c r="AP133" s="12"/>
      <c r="AQ133" s="12"/>
      <c r="AR133" s="19"/>
      <c r="AS133" s="19"/>
      <c r="AT133" s="19"/>
      <c r="AU133" s="19"/>
      <c r="AV133" s="19"/>
      <c r="AW133" s="12"/>
      <c r="AX133" s="12"/>
      <c r="AY133" s="12"/>
      <c r="AZ133" s="12"/>
      <c r="BA133" s="12"/>
      <c r="BB133" s="12"/>
      <c r="BC133" s="136">
        <f t="shared" si="13"/>
        <v>0</v>
      </c>
      <c r="BD133" s="639"/>
    </row>
    <row r="134" spans="1:56">
      <c r="A134" s="174"/>
      <c r="B134" s="175"/>
      <c r="C134" s="174"/>
      <c r="D134" s="174"/>
      <c r="G134" s="178"/>
      <c r="H134" s="178"/>
      <c r="I134" s="178"/>
      <c r="T134" s="177"/>
      <c r="U134" s="179"/>
      <c r="V134" s="183"/>
      <c r="W134" s="183"/>
      <c r="X134" s="184"/>
      <c r="Y134" s="184"/>
      <c r="Z134" s="184"/>
      <c r="AA134" s="184"/>
      <c r="AB134" s="184"/>
      <c r="AC134" s="184"/>
      <c r="AD134" s="183"/>
      <c r="AE134" s="183"/>
      <c r="AF134" s="184"/>
      <c r="AG134" s="183"/>
      <c r="AH134" s="183"/>
      <c r="AI134" s="183"/>
      <c r="AJ134" s="180"/>
      <c r="AK134" s="180"/>
      <c r="AM134" s="196"/>
      <c r="AN134" s="252"/>
      <c r="AO134" s="246"/>
      <c r="AP134" s="12"/>
      <c r="AQ134" s="12"/>
      <c r="AR134" s="19"/>
      <c r="AS134" s="19"/>
      <c r="AT134" s="19"/>
      <c r="AU134" s="19"/>
      <c r="AV134" s="19"/>
      <c r="AW134" s="12"/>
      <c r="AX134" s="12"/>
      <c r="AY134" s="12"/>
      <c r="AZ134" s="12"/>
      <c r="BA134" s="12"/>
      <c r="BB134" s="12"/>
      <c r="BC134" s="136">
        <f>SUM(AQ134:BB134)</f>
        <v>0</v>
      </c>
      <c r="BD134" s="640"/>
    </row>
    <row r="135" spans="1:56" ht="15" thickBot="1">
      <c r="A135" s="174"/>
      <c r="B135" s="175"/>
      <c r="C135" s="174"/>
      <c r="D135" s="174"/>
      <c r="G135" s="178"/>
      <c r="H135" s="178"/>
      <c r="I135" s="178"/>
      <c r="T135" s="177"/>
      <c r="U135" s="179"/>
      <c r="V135" s="183"/>
      <c r="W135" s="183"/>
      <c r="X135" s="184"/>
      <c r="Y135" s="184"/>
      <c r="Z135" s="184"/>
      <c r="AA135" s="184"/>
      <c r="AB135" s="184"/>
      <c r="AC135" s="184"/>
      <c r="AD135" s="183"/>
      <c r="AE135" s="183"/>
      <c r="AF135" s="184"/>
      <c r="AG135" s="183"/>
      <c r="AH135" s="183"/>
      <c r="AI135" s="183"/>
      <c r="AJ135" s="180"/>
      <c r="AK135" s="180"/>
      <c r="AM135" s="239"/>
      <c r="AN135" s="367"/>
      <c r="AO135" s="141"/>
      <c r="AP135" s="141"/>
      <c r="AQ135" s="141"/>
      <c r="AR135" s="171"/>
      <c r="AS135" s="171"/>
      <c r="AT135" s="171"/>
      <c r="AU135" s="171"/>
      <c r="AV135" s="171"/>
      <c r="AW135" s="141"/>
      <c r="AX135" s="141"/>
      <c r="AY135" s="141"/>
      <c r="AZ135" s="141"/>
      <c r="BA135" s="141"/>
      <c r="BB135" s="141"/>
      <c r="BC135" s="142">
        <f t="shared" si="13"/>
        <v>0</v>
      </c>
      <c r="BD135" s="641"/>
    </row>
    <row r="136" spans="1:56">
      <c r="A136" s="174"/>
      <c r="B136" s="175"/>
      <c r="C136" s="174"/>
      <c r="D136" s="174"/>
      <c r="G136" s="178"/>
      <c r="H136" s="178"/>
      <c r="I136" s="178"/>
      <c r="T136" s="177"/>
      <c r="U136" s="179"/>
      <c r="V136" s="183"/>
      <c r="W136" s="183"/>
      <c r="X136" s="184"/>
      <c r="Y136" s="184"/>
      <c r="Z136" s="184"/>
      <c r="AA136" s="184"/>
      <c r="AB136" s="184"/>
      <c r="AC136" s="184"/>
      <c r="AD136" s="183"/>
      <c r="AE136" s="183"/>
      <c r="AF136" s="184"/>
      <c r="AG136" s="183"/>
      <c r="AH136" s="183"/>
      <c r="AI136" s="183"/>
      <c r="AJ136" s="180"/>
      <c r="AK136" s="180"/>
      <c r="AM136" s="253"/>
      <c r="AN136" s="371"/>
      <c r="AO136" s="138"/>
      <c r="AP136" s="138"/>
      <c r="AQ136" s="138"/>
      <c r="AR136" s="173"/>
      <c r="AS136" s="173"/>
      <c r="AT136" s="173"/>
      <c r="AU136" s="173"/>
      <c r="AV136" s="173"/>
      <c r="AW136" s="138"/>
      <c r="AX136" s="138"/>
      <c r="AY136" s="138"/>
      <c r="AZ136" s="138"/>
      <c r="BA136" s="138"/>
      <c r="BB136" s="138"/>
      <c r="BC136" s="139">
        <f t="shared" ref="BC136:BC141" si="14">SUM(AQ136:BB136)</f>
        <v>0</v>
      </c>
      <c r="BD136" s="639"/>
    </row>
    <row r="137" spans="1:56">
      <c r="A137" s="174"/>
      <c r="B137" s="175"/>
      <c r="C137" s="174"/>
      <c r="D137" s="174"/>
      <c r="G137" s="178"/>
      <c r="H137" s="178"/>
      <c r="I137" s="178"/>
      <c r="T137" s="177"/>
      <c r="U137" s="179"/>
      <c r="V137" s="183"/>
      <c r="W137" s="183"/>
      <c r="X137" s="184"/>
      <c r="Y137" s="184"/>
      <c r="Z137" s="184"/>
      <c r="AA137" s="184"/>
      <c r="AB137" s="184"/>
      <c r="AC137" s="184"/>
      <c r="AD137" s="183"/>
      <c r="AE137" s="183"/>
      <c r="AF137" s="184"/>
      <c r="AG137" s="183"/>
      <c r="AH137" s="183"/>
      <c r="AI137" s="183"/>
      <c r="AJ137" s="180"/>
      <c r="AK137" s="180"/>
      <c r="AM137" s="247"/>
      <c r="AN137" s="248"/>
      <c r="AO137" s="12"/>
      <c r="AP137" s="12"/>
      <c r="AQ137" s="12"/>
      <c r="AR137" s="241"/>
      <c r="AS137" s="19"/>
      <c r="AT137" s="19"/>
      <c r="AU137" s="19"/>
      <c r="AV137" s="19"/>
      <c r="AW137" s="12"/>
      <c r="AX137" s="12"/>
      <c r="AY137" s="12"/>
      <c r="AZ137" s="19"/>
      <c r="BA137" s="12"/>
      <c r="BB137" s="12"/>
      <c r="BC137" s="136">
        <f t="shared" si="14"/>
        <v>0</v>
      </c>
      <c r="BD137" s="640"/>
    </row>
    <row r="138" spans="1:56">
      <c r="A138" s="174"/>
      <c r="B138" s="175"/>
      <c r="C138" s="174"/>
      <c r="D138" s="174"/>
      <c r="G138" s="178"/>
      <c r="H138" s="178"/>
      <c r="I138" s="178"/>
      <c r="T138" s="177"/>
      <c r="U138" s="179"/>
      <c r="V138" s="183"/>
      <c r="W138" s="183"/>
      <c r="X138" s="184"/>
      <c r="Y138" s="184"/>
      <c r="Z138" s="184"/>
      <c r="AA138" s="184"/>
      <c r="AB138" s="184"/>
      <c r="AC138" s="184"/>
      <c r="AD138" s="183"/>
      <c r="AE138" s="183"/>
      <c r="AF138" s="184"/>
      <c r="AG138" s="183"/>
      <c r="AH138" s="183"/>
      <c r="AI138" s="183"/>
      <c r="AJ138" s="180"/>
      <c r="AK138" s="180"/>
      <c r="AM138" s="247"/>
      <c r="AN138" s="258"/>
      <c r="AO138" s="12"/>
      <c r="AP138" s="12"/>
      <c r="AQ138" s="12"/>
      <c r="AR138" s="241"/>
      <c r="AS138" s="19"/>
      <c r="AT138" s="19"/>
      <c r="AU138" s="19"/>
      <c r="AV138" s="19"/>
      <c r="AW138" s="12"/>
      <c r="AX138" s="12"/>
      <c r="AY138" s="12"/>
      <c r="AZ138" s="12"/>
      <c r="BA138" s="12"/>
      <c r="BB138" s="12"/>
      <c r="BC138" s="136">
        <f t="shared" si="14"/>
        <v>0</v>
      </c>
      <c r="BD138" s="640"/>
    </row>
    <row r="139" spans="1:56">
      <c r="A139" s="174"/>
      <c r="B139" s="175"/>
      <c r="C139" s="174"/>
      <c r="D139" s="174"/>
      <c r="G139" s="178"/>
      <c r="H139" s="178"/>
      <c r="I139" s="178"/>
      <c r="T139" s="177"/>
      <c r="U139" s="179"/>
      <c r="V139" s="183"/>
      <c r="W139" s="183"/>
      <c r="X139" s="184"/>
      <c r="Y139" s="184"/>
      <c r="Z139" s="184"/>
      <c r="AA139" s="184"/>
      <c r="AB139" s="184"/>
      <c r="AC139" s="184"/>
      <c r="AD139" s="183"/>
      <c r="AE139" s="183"/>
      <c r="AF139" s="184"/>
      <c r="AG139" s="183"/>
      <c r="AH139" s="183"/>
      <c r="AI139" s="183"/>
      <c r="AJ139" s="180"/>
      <c r="AK139" s="180"/>
      <c r="AM139" s="247"/>
      <c r="AN139" s="258"/>
      <c r="AO139" s="12"/>
      <c r="AP139" s="12"/>
      <c r="AQ139" s="12"/>
      <c r="AR139" s="19"/>
      <c r="AS139" s="19"/>
      <c r="AT139" s="19"/>
      <c r="AU139" s="19"/>
      <c r="AV139" s="19"/>
      <c r="AW139" s="12"/>
      <c r="AX139" s="12"/>
      <c r="AY139" s="12"/>
      <c r="AZ139" s="12"/>
      <c r="BA139" s="12"/>
      <c r="BB139" s="12"/>
      <c r="BC139" s="32">
        <f t="shared" si="14"/>
        <v>0</v>
      </c>
      <c r="BD139" s="640"/>
    </row>
    <row r="140" spans="1:56" ht="15" thickBot="1">
      <c r="A140" s="174"/>
      <c r="B140" s="175"/>
      <c r="C140" s="174"/>
      <c r="D140" s="174"/>
      <c r="G140" s="178"/>
      <c r="H140" s="178"/>
      <c r="I140" s="178"/>
      <c r="T140" s="177"/>
      <c r="U140" s="179"/>
      <c r="V140" s="183"/>
      <c r="W140" s="183"/>
      <c r="X140" s="184"/>
      <c r="Y140" s="184"/>
      <c r="Z140" s="184"/>
      <c r="AA140" s="184"/>
      <c r="AB140" s="184"/>
      <c r="AC140" s="184"/>
      <c r="AD140" s="183"/>
      <c r="AE140" s="183"/>
      <c r="AF140" s="184"/>
      <c r="AG140" s="183"/>
      <c r="AH140" s="183"/>
      <c r="AI140" s="183"/>
      <c r="AJ140" s="180"/>
      <c r="AK140" s="180"/>
      <c r="AM140" s="239"/>
      <c r="AN140" s="367"/>
      <c r="AO140" s="202"/>
      <c r="AP140" s="202"/>
      <c r="AQ140" s="202"/>
      <c r="AR140" s="431"/>
      <c r="AS140" s="207"/>
      <c r="AT140" s="207"/>
      <c r="AU140" s="207"/>
      <c r="AV140" s="207"/>
      <c r="AW140" s="202"/>
      <c r="AX140" s="202"/>
      <c r="AY140" s="202"/>
      <c r="AZ140" s="202"/>
      <c r="BA140" s="202"/>
      <c r="BB140" s="202"/>
      <c r="BC140" s="142">
        <f t="shared" si="14"/>
        <v>0</v>
      </c>
      <c r="BD140" s="641"/>
    </row>
    <row r="141" spans="1:56">
      <c r="A141" s="174"/>
      <c r="B141" s="175"/>
      <c r="C141" s="174"/>
      <c r="D141" s="174"/>
      <c r="G141" s="178"/>
      <c r="H141" s="178"/>
      <c r="I141" s="178"/>
      <c r="T141" s="177"/>
      <c r="U141" s="179"/>
      <c r="V141" s="183"/>
      <c r="W141" s="183"/>
      <c r="X141" s="184"/>
      <c r="Y141" s="184"/>
      <c r="Z141" s="184"/>
      <c r="AA141" s="184"/>
      <c r="AB141" s="184"/>
      <c r="AC141" s="184"/>
      <c r="AD141" s="183"/>
      <c r="AE141" s="183"/>
      <c r="AF141" s="184"/>
      <c r="AG141" s="183"/>
      <c r="AH141" s="183"/>
      <c r="AI141" s="183"/>
      <c r="AJ141" s="180"/>
      <c r="AK141" s="180"/>
      <c r="AM141" s="253"/>
      <c r="AN141" s="371"/>
      <c r="AO141" s="138"/>
      <c r="AP141" s="138"/>
      <c r="AQ141" s="138"/>
      <c r="AR141" s="173"/>
      <c r="AS141" s="173"/>
      <c r="AT141" s="173"/>
      <c r="AU141" s="173"/>
      <c r="AV141" s="173"/>
      <c r="AW141" s="138"/>
      <c r="AX141" s="138"/>
      <c r="AY141" s="138"/>
      <c r="AZ141" s="138"/>
      <c r="BA141" s="138"/>
      <c r="BB141" s="138"/>
      <c r="BC141" s="139">
        <f t="shared" si="14"/>
        <v>0</v>
      </c>
      <c r="BD141" s="639"/>
    </row>
    <row r="142" spans="1:56">
      <c r="A142" s="174"/>
      <c r="B142" s="175"/>
      <c r="C142" s="174"/>
      <c r="D142" s="174"/>
      <c r="G142" s="178"/>
      <c r="H142" s="178"/>
      <c r="I142" s="178"/>
      <c r="T142" s="177"/>
      <c r="U142" s="179"/>
      <c r="V142" s="183"/>
      <c r="W142" s="183"/>
      <c r="X142" s="184"/>
      <c r="Y142" s="184"/>
      <c r="Z142" s="184"/>
      <c r="AA142" s="184"/>
      <c r="AB142" s="184"/>
      <c r="AC142" s="184"/>
      <c r="AD142" s="183"/>
      <c r="AE142" s="183"/>
      <c r="AF142" s="184"/>
      <c r="AG142" s="183"/>
      <c r="AH142" s="183"/>
      <c r="AI142" s="183"/>
      <c r="AJ142" s="180"/>
      <c r="AK142" s="180"/>
      <c r="AM142" s="247"/>
      <c r="AN142" s="258"/>
      <c r="AO142" s="12"/>
      <c r="AP142" s="12"/>
      <c r="AQ142" s="12"/>
      <c r="AR142" s="19"/>
      <c r="AS142" s="19"/>
      <c r="AT142" s="19"/>
      <c r="AU142" s="19"/>
      <c r="AV142" s="19"/>
      <c r="AW142" s="12"/>
      <c r="AX142" s="12"/>
      <c r="AY142" s="12"/>
      <c r="AZ142" s="12"/>
      <c r="BA142" s="12"/>
      <c r="BB142" s="12"/>
      <c r="BC142" s="136">
        <f t="shared" ref="BC142:BC151" si="15">SUM(AQ142:BB142)</f>
        <v>0</v>
      </c>
      <c r="BD142" s="640"/>
    </row>
    <row r="143" spans="1:56">
      <c r="A143" s="174"/>
      <c r="B143" s="175"/>
      <c r="C143" s="174"/>
      <c r="D143" s="174"/>
      <c r="G143" s="178"/>
      <c r="H143" s="178"/>
      <c r="I143" s="178"/>
      <c r="T143" s="177"/>
      <c r="U143" s="179"/>
      <c r="V143" s="183"/>
      <c r="W143" s="183"/>
      <c r="X143" s="184"/>
      <c r="Y143" s="184"/>
      <c r="Z143" s="184"/>
      <c r="AA143" s="184"/>
      <c r="AB143" s="184"/>
      <c r="AC143" s="184"/>
      <c r="AD143" s="183"/>
      <c r="AE143" s="183"/>
      <c r="AF143" s="184"/>
      <c r="AG143" s="183"/>
      <c r="AH143" s="183"/>
      <c r="AI143" s="183"/>
      <c r="AJ143" s="180"/>
      <c r="AK143" s="180"/>
      <c r="AM143" s="196"/>
      <c r="AN143" s="195"/>
      <c r="AO143" s="12"/>
      <c r="AP143" s="12"/>
      <c r="AQ143" s="12"/>
      <c r="AR143" s="12"/>
      <c r="AS143" s="19"/>
      <c r="AT143" s="19"/>
      <c r="AU143" s="19"/>
      <c r="AV143" s="19"/>
      <c r="AW143" s="12"/>
      <c r="AX143" s="12"/>
      <c r="AY143" s="12"/>
      <c r="AZ143" s="12"/>
      <c r="BA143" s="12"/>
      <c r="BB143" s="12"/>
      <c r="BC143" s="136">
        <f t="shared" si="15"/>
        <v>0</v>
      </c>
      <c r="BD143" s="640"/>
    </row>
    <row r="144" spans="1:56" ht="15" thickBot="1">
      <c r="A144" s="174"/>
      <c r="B144" s="175"/>
      <c r="C144" s="174"/>
      <c r="D144" s="174"/>
      <c r="G144" s="178"/>
      <c r="H144" s="178"/>
      <c r="I144" s="178"/>
      <c r="T144" s="177"/>
      <c r="U144" s="179"/>
      <c r="V144" s="183"/>
      <c r="W144" s="183"/>
      <c r="X144" s="184"/>
      <c r="Y144" s="184"/>
      <c r="Z144" s="184"/>
      <c r="AA144" s="184"/>
      <c r="AB144" s="184"/>
      <c r="AC144" s="184"/>
      <c r="AD144" s="183"/>
      <c r="AE144" s="183"/>
      <c r="AF144" s="184"/>
      <c r="AG144" s="183"/>
      <c r="AH144" s="183"/>
      <c r="AI144" s="183"/>
      <c r="AJ144" s="180"/>
      <c r="AK144" s="180"/>
      <c r="AM144" s="198"/>
      <c r="AN144" s="197"/>
      <c r="AO144" s="141"/>
      <c r="AP144" s="141"/>
      <c r="AQ144" s="141"/>
      <c r="AR144" s="171"/>
      <c r="AS144" s="171"/>
      <c r="AT144" s="171"/>
      <c r="AU144" s="171"/>
      <c r="AV144" s="171"/>
      <c r="AW144" s="141"/>
      <c r="AX144" s="141"/>
      <c r="AY144" s="141"/>
      <c r="AZ144" s="141"/>
      <c r="BA144" s="141"/>
      <c r="BB144" s="141"/>
      <c r="BC144" s="142">
        <f t="shared" si="15"/>
        <v>0</v>
      </c>
      <c r="BD144" s="641"/>
    </row>
    <row r="145" spans="1:56">
      <c r="A145" s="174"/>
      <c r="B145" s="175"/>
      <c r="C145" s="174"/>
      <c r="D145" s="174"/>
      <c r="G145" s="178"/>
      <c r="H145" s="178"/>
      <c r="I145" s="178"/>
      <c r="T145" s="177"/>
      <c r="U145" s="179"/>
      <c r="V145" s="183"/>
      <c r="W145" s="183"/>
      <c r="X145" s="184"/>
      <c r="Y145" s="184"/>
      <c r="Z145" s="184"/>
      <c r="AA145" s="184"/>
      <c r="AB145" s="184"/>
      <c r="AC145" s="184"/>
      <c r="AD145" s="183"/>
      <c r="AE145" s="183"/>
      <c r="AF145" s="184"/>
      <c r="AG145" s="183"/>
      <c r="AH145" s="183"/>
      <c r="AI145" s="183"/>
      <c r="AJ145" s="180"/>
      <c r="AK145" s="180"/>
      <c r="AM145" s="247"/>
      <c r="AN145" s="195"/>
      <c r="AO145" s="12"/>
      <c r="AP145" s="12"/>
      <c r="AQ145" s="12"/>
      <c r="AR145" s="19"/>
      <c r="AS145" s="19"/>
      <c r="AT145" s="19"/>
      <c r="AU145" s="19"/>
      <c r="AV145" s="19"/>
      <c r="AW145" s="12"/>
      <c r="AX145" s="12"/>
      <c r="AY145" s="12"/>
      <c r="AZ145" s="12"/>
      <c r="BA145" s="12"/>
      <c r="BB145" s="12"/>
      <c r="BC145" s="215">
        <f t="shared" si="15"/>
        <v>0</v>
      </c>
      <c r="BD145" s="639"/>
    </row>
    <row r="146" spans="1:56">
      <c r="A146" s="174"/>
      <c r="B146" s="175"/>
      <c r="C146" s="174"/>
      <c r="D146" s="174"/>
      <c r="G146" s="178"/>
      <c r="H146" s="178"/>
      <c r="I146" s="178"/>
      <c r="T146" s="177"/>
      <c r="U146" s="179"/>
      <c r="V146" s="183"/>
      <c r="W146" s="183"/>
      <c r="X146" s="184"/>
      <c r="Y146" s="184"/>
      <c r="Z146" s="184"/>
      <c r="AA146" s="184"/>
      <c r="AB146" s="184"/>
      <c r="AC146" s="184"/>
      <c r="AD146" s="183"/>
      <c r="AE146" s="183"/>
      <c r="AF146" s="184"/>
      <c r="AG146" s="183"/>
      <c r="AH146" s="183"/>
      <c r="AI146" s="183"/>
      <c r="AJ146" s="180"/>
      <c r="AK146" s="180"/>
      <c r="AM146" s="196"/>
      <c r="AN146" s="195"/>
      <c r="AO146" s="12"/>
      <c r="AP146" s="12"/>
      <c r="AQ146" s="12"/>
      <c r="AR146" s="19"/>
      <c r="AS146" s="19"/>
      <c r="AT146" s="19"/>
      <c r="AU146" s="19"/>
      <c r="AV146" s="19"/>
      <c r="AW146" s="12"/>
      <c r="AX146" s="12"/>
      <c r="AY146" s="12"/>
      <c r="AZ146" s="12"/>
      <c r="BA146" s="12"/>
      <c r="BB146" s="12"/>
      <c r="BC146" s="215">
        <f t="shared" si="15"/>
        <v>0</v>
      </c>
      <c r="BD146" s="640"/>
    </row>
    <row r="147" spans="1:56">
      <c r="A147" s="174"/>
      <c r="B147" s="175"/>
      <c r="C147" s="174"/>
      <c r="D147" s="174"/>
      <c r="G147" s="178"/>
      <c r="H147" s="178"/>
      <c r="I147" s="178"/>
      <c r="T147" s="177"/>
      <c r="U147" s="179"/>
      <c r="V147" s="183"/>
      <c r="W147" s="183"/>
      <c r="X147" s="184"/>
      <c r="Y147" s="184"/>
      <c r="Z147" s="184"/>
      <c r="AA147" s="184"/>
      <c r="AB147" s="184"/>
      <c r="AC147" s="184"/>
      <c r="AD147" s="183"/>
      <c r="AE147" s="183"/>
      <c r="AF147" s="184"/>
      <c r="AG147" s="183"/>
      <c r="AH147" s="183"/>
      <c r="AI147" s="183"/>
      <c r="AJ147" s="180"/>
      <c r="AK147" s="180"/>
      <c r="AM147" s="196"/>
      <c r="AN147" s="195"/>
      <c r="AO147" s="12"/>
      <c r="AP147" s="12"/>
      <c r="AQ147" s="12"/>
      <c r="AR147" s="19"/>
      <c r="AS147" s="19"/>
      <c r="AT147" s="19"/>
      <c r="AU147" s="19"/>
      <c r="AV147" s="19"/>
      <c r="AW147" s="12"/>
      <c r="AX147" s="12"/>
      <c r="AY147" s="12"/>
      <c r="AZ147" s="12"/>
      <c r="BA147" s="12"/>
      <c r="BB147" s="12"/>
      <c r="BC147" s="215">
        <f t="shared" si="15"/>
        <v>0</v>
      </c>
      <c r="BD147" s="640"/>
    </row>
    <row r="148" spans="1:56">
      <c r="A148" s="174"/>
      <c r="B148" s="175"/>
      <c r="C148" s="174"/>
      <c r="D148" s="174"/>
      <c r="G148" s="178"/>
      <c r="H148" s="178"/>
      <c r="I148" s="178"/>
      <c r="T148" s="177"/>
      <c r="U148" s="179"/>
      <c r="V148" s="183"/>
      <c r="W148" s="183"/>
      <c r="X148" s="184"/>
      <c r="Y148" s="184"/>
      <c r="Z148" s="184"/>
      <c r="AA148" s="184"/>
      <c r="AB148" s="184"/>
      <c r="AC148" s="184"/>
      <c r="AD148" s="183"/>
      <c r="AE148" s="183"/>
      <c r="AF148" s="184"/>
      <c r="AG148" s="183"/>
      <c r="AH148" s="183"/>
      <c r="AI148" s="183"/>
      <c r="AJ148" s="180"/>
      <c r="AK148" s="180"/>
      <c r="AM148" s="247"/>
      <c r="AN148" s="195"/>
      <c r="AO148" s="12"/>
      <c r="AP148" s="12"/>
      <c r="AQ148" s="12"/>
      <c r="AR148" s="19"/>
      <c r="AS148" s="19"/>
      <c r="AT148" s="19"/>
      <c r="AU148" s="19"/>
      <c r="AV148" s="19"/>
      <c r="AW148" s="12"/>
      <c r="AX148" s="12"/>
      <c r="AY148" s="12"/>
      <c r="AZ148" s="12"/>
      <c r="BA148" s="12"/>
      <c r="BB148" s="12"/>
      <c r="BC148" s="215">
        <f t="shared" si="15"/>
        <v>0</v>
      </c>
      <c r="BD148" s="640"/>
    </row>
    <row r="149" spans="1:56" ht="15" thickBot="1">
      <c r="A149" s="174"/>
      <c r="B149" s="175"/>
      <c r="C149" s="174"/>
      <c r="D149" s="174"/>
      <c r="G149" s="178"/>
      <c r="H149" s="178"/>
      <c r="I149" s="178"/>
      <c r="T149" s="177"/>
      <c r="U149" s="179"/>
      <c r="V149" s="183"/>
      <c r="W149" s="183"/>
      <c r="X149" s="184"/>
      <c r="Y149" s="184"/>
      <c r="Z149" s="184"/>
      <c r="AA149" s="184"/>
      <c r="AB149" s="184"/>
      <c r="AC149" s="184"/>
      <c r="AD149" s="183"/>
      <c r="AE149" s="183"/>
      <c r="AF149" s="184"/>
      <c r="AG149" s="183"/>
      <c r="AH149" s="183"/>
      <c r="AI149" s="183"/>
      <c r="AJ149" s="180"/>
      <c r="AK149" s="180"/>
      <c r="AM149" s="239"/>
      <c r="AN149" s="197"/>
      <c r="AO149" s="202"/>
      <c r="AP149" s="202"/>
      <c r="AQ149" s="202"/>
      <c r="AR149" s="207"/>
      <c r="AS149" s="207"/>
      <c r="AT149" s="207"/>
      <c r="AU149" s="207"/>
      <c r="AV149" s="207"/>
      <c r="AW149" s="202"/>
      <c r="AX149" s="202"/>
      <c r="AY149" s="202"/>
      <c r="AZ149" s="202"/>
      <c r="BA149" s="202"/>
      <c r="BB149" s="202"/>
      <c r="BC149" s="249">
        <f t="shared" si="15"/>
        <v>0</v>
      </c>
      <c r="BD149" s="641"/>
    </row>
    <row r="150" spans="1:56">
      <c r="A150" s="174"/>
      <c r="B150" s="175"/>
      <c r="C150" s="174"/>
      <c r="D150" s="174"/>
      <c r="G150" s="178"/>
      <c r="H150" s="178"/>
      <c r="I150" s="178"/>
      <c r="T150" s="177"/>
      <c r="U150" s="179"/>
      <c r="V150" s="183"/>
      <c r="W150" s="183"/>
      <c r="X150" s="184"/>
      <c r="Y150" s="184"/>
      <c r="Z150" s="184"/>
      <c r="AA150" s="184"/>
      <c r="AB150" s="184"/>
      <c r="AC150" s="184"/>
      <c r="AD150" s="183"/>
      <c r="AE150" s="183"/>
      <c r="AF150" s="184"/>
      <c r="AG150" s="183"/>
      <c r="AH150" s="183"/>
      <c r="AI150" s="183"/>
      <c r="AJ150" s="180"/>
      <c r="AK150" s="180"/>
      <c r="AM150" s="196"/>
      <c r="AN150" s="195"/>
      <c r="AO150" s="12"/>
      <c r="AP150" s="12"/>
      <c r="AQ150" s="12"/>
      <c r="AR150" s="19"/>
      <c r="AS150" s="19"/>
      <c r="AT150" s="19"/>
      <c r="AU150" s="19"/>
      <c r="AV150" s="19"/>
      <c r="AW150" s="12"/>
      <c r="AX150" s="12"/>
      <c r="AY150" s="12"/>
      <c r="AZ150" s="12"/>
      <c r="BA150" s="12"/>
      <c r="BB150" s="12"/>
      <c r="BC150" s="215">
        <f t="shared" si="15"/>
        <v>0</v>
      </c>
      <c r="BD150" s="432"/>
    </row>
    <row r="151" spans="1:56" ht="15" thickBot="1">
      <c r="A151" s="174"/>
      <c r="B151" s="175"/>
      <c r="C151" s="174"/>
      <c r="D151" s="174"/>
      <c r="G151" s="178"/>
      <c r="H151" s="178"/>
      <c r="I151" s="178"/>
      <c r="T151" s="177"/>
      <c r="U151" s="179"/>
      <c r="V151" s="183"/>
      <c r="W151" s="183"/>
      <c r="X151" s="184"/>
      <c r="Y151" s="184"/>
      <c r="Z151" s="184"/>
      <c r="AA151" s="184"/>
      <c r="AB151" s="184"/>
      <c r="AC151" s="184"/>
      <c r="AD151" s="183"/>
      <c r="AE151" s="183"/>
      <c r="AF151" s="184"/>
      <c r="AG151" s="183"/>
      <c r="AH151" s="183"/>
      <c r="AI151" s="183"/>
      <c r="AJ151" s="180"/>
      <c r="AK151" s="180"/>
      <c r="AM151" s="198"/>
      <c r="AN151" s="197"/>
      <c r="AO151" s="202"/>
      <c r="AP151" s="202"/>
      <c r="AQ151" s="202"/>
      <c r="AR151" s="207"/>
      <c r="AS151" s="207"/>
      <c r="AT151" s="207"/>
      <c r="AU151" s="207"/>
      <c r="AV151" s="207"/>
      <c r="AW151" s="202"/>
      <c r="AX151" s="202"/>
      <c r="AY151" s="202"/>
      <c r="AZ151" s="202"/>
      <c r="BA151" s="202"/>
      <c r="BB151" s="202"/>
      <c r="BC151" s="249">
        <f t="shared" si="15"/>
        <v>0</v>
      </c>
      <c r="BD151" s="433"/>
    </row>
    <row r="152" spans="1:56">
      <c r="A152" s="174"/>
      <c r="B152" s="175"/>
      <c r="C152" s="174"/>
      <c r="D152" s="174"/>
      <c r="G152" s="178"/>
      <c r="H152" s="178"/>
      <c r="I152" s="178"/>
      <c r="T152" s="177"/>
      <c r="U152" s="179"/>
      <c r="V152" s="183"/>
      <c r="W152" s="183"/>
      <c r="X152" s="184"/>
      <c r="Y152" s="184"/>
      <c r="Z152" s="184"/>
      <c r="AA152" s="184"/>
      <c r="AB152" s="184"/>
      <c r="AC152" s="184"/>
      <c r="AD152" s="183"/>
      <c r="AE152" s="183"/>
      <c r="AF152" s="184"/>
      <c r="AG152" s="183"/>
      <c r="AH152" s="183"/>
      <c r="AI152" s="183"/>
      <c r="AJ152" s="180"/>
      <c r="AK152" s="180"/>
      <c r="AM152" s="253"/>
      <c r="AN152" s="250"/>
      <c r="AO152" s="138"/>
      <c r="AP152" s="138"/>
      <c r="AQ152" s="138"/>
      <c r="AR152" s="173"/>
      <c r="AS152" s="173"/>
      <c r="AT152" s="173"/>
      <c r="AU152" s="173"/>
      <c r="AV152" s="173"/>
      <c r="AW152" s="138"/>
      <c r="AX152" s="138"/>
      <c r="AY152" s="138"/>
      <c r="AZ152" s="138"/>
      <c r="BA152" s="138"/>
      <c r="BB152" s="138"/>
      <c r="BC152" s="356">
        <f t="shared" ref="BC152:BC161" si="16">SUM(AQ152:BB152)</f>
        <v>0</v>
      </c>
      <c r="BD152" s="639"/>
    </row>
    <row r="153" spans="1:56">
      <c r="A153" s="174"/>
      <c r="B153" s="175"/>
      <c r="C153" s="174"/>
      <c r="D153" s="174"/>
      <c r="G153" s="178"/>
      <c r="H153" s="178"/>
      <c r="I153" s="178"/>
      <c r="T153" s="177"/>
      <c r="U153" s="179"/>
      <c r="V153" s="183"/>
      <c r="W153" s="183"/>
      <c r="X153" s="184"/>
      <c r="Y153" s="184"/>
      <c r="Z153" s="184"/>
      <c r="AA153" s="184"/>
      <c r="AB153" s="184"/>
      <c r="AC153" s="184"/>
      <c r="AD153" s="183"/>
      <c r="AE153" s="183"/>
      <c r="AF153" s="184"/>
      <c r="AG153" s="183"/>
      <c r="AH153" s="183"/>
      <c r="AI153" s="183"/>
      <c r="AJ153" s="180"/>
      <c r="AK153" s="180"/>
      <c r="AM153" s="196"/>
      <c r="AN153" s="195"/>
      <c r="AO153" s="31"/>
      <c r="AP153" s="31"/>
      <c r="AQ153" s="31"/>
      <c r="AR153" s="18"/>
      <c r="AS153" s="18"/>
      <c r="AT153" s="18"/>
      <c r="AU153" s="18"/>
      <c r="AV153" s="18"/>
      <c r="AW153" s="31"/>
      <c r="AX153" s="31"/>
      <c r="AY153" s="31"/>
      <c r="AZ153" s="31"/>
      <c r="BA153" s="31"/>
      <c r="BB153" s="31"/>
      <c r="BC153" s="215">
        <f t="shared" si="16"/>
        <v>0</v>
      </c>
      <c r="BD153" s="640"/>
    </row>
    <row r="154" spans="1:56" ht="15" thickBot="1">
      <c r="A154" s="174"/>
      <c r="B154" s="175"/>
      <c r="C154" s="174"/>
      <c r="D154" s="174"/>
      <c r="G154" s="178"/>
      <c r="H154" s="178"/>
      <c r="I154" s="178"/>
      <c r="T154" s="177"/>
      <c r="U154" s="179"/>
      <c r="V154" s="183"/>
      <c r="W154" s="183"/>
      <c r="X154" s="184"/>
      <c r="Y154" s="184"/>
      <c r="Z154" s="184"/>
      <c r="AA154" s="184"/>
      <c r="AB154" s="184"/>
      <c r="AC154" s="184"/>
      <c r="AD154" s="183"/>
      <c r="AE154" s="183"/>
      <c r="AF154" s="184"/>
      <c r="AG154" s="183"/>
      <c r="AH154" s="183"/>
      <c r="AI154" s="183"/>
      <c r="AJ154" s="180"/>
      <c r="AK154" s="180"/>
      <c r="AM154" s="198"/>
      <c r="AN154" s="195"/>
      <c r="AO154" s="31"/>
      <c r="AP154" s="31"/>
      <c r="AQ154" s="31"/>
      <c r="AR154" s="18"/>
      <c r="AS154" s="18"/>
      <c r="AT154" s="18"/>
      <c r="AU154" s="18"/>
      <c r="AV154" s="18"/>
      <c r="AW154" s="31"/>
      <c r="AX154" s="31"/>
      <c r="AY154" s="31"/>
      <c r="AZ154" s="31"/>
      <c r="BA154" s="31"/>
      <c r="BB154" s="31"/>
      <c r="BC154" s="215">
        <f t="shared" si="16"/>
        <v>0</v>
      </c>
      <c r="BD154" s="640"/>
    </row>
    <row r="155" spans="1:56">
      <c r="A155" s="174"/>
      <c r="B155" s="175"/>
      <c r="C155" s="174"/>
      <c r="D155" s="174"/>
      <c r="G155" s="178"/>
      <c r="H155" s="178"/>
      <c r="I155" s="178"/>
      <c r="T155" s="177"/>
      <c r="U155" s="179"/>
      <c r="V155" s="183"/>
      <c r="W155" s="183"/>
      <c r="X155" s="184"/>
      <c r="Y155" s="184"/>
      <c r="Z155" s="184"/>
      <c r="AA155" s="184"/>
      <c r="AB155" s="184"/>
      <c r="AC155" s="184"/>
      <c r="AD155" s="183"/>
      <c r="AE155" s="183"/>
      <c r="AF155" s="184"/>
      <c r="AG155" s="183"/>
      <c r="AH155" s="183"/>
      <c r="AI155" s="183"/>
      <c r="AJ155" s="180"/>
      <c r="AK155" s="180"/>
      <c r="AM155" s="247"/>
      <c r="AN155" s="195"/>
      <c r="AO155" s="31"/>
      <c r="AP155" s="31"/>
      <c r="AQ155" s="31"/>
      <c r="AR155" s="18"/>
      <c r="AS155" s="18"/>
      <c r="AT155" s="18"/>
      <c r="AU155" s="18"/>
      <c r="AV155" s="18"/>
      <c r="AW155" s="31"/>
      <c r="AX155" s="31"/>
      <c r="AY155" s="31"/>
      <c r="AZ155" s="31"/>
      <c r="BA155" s="31"/>
      <c r="BB155" s="31"/>
      <c r="BC155" s="215">
        <f t="shared" si="16"/>
        <v>0</v>
      </c>
      <c r="BD155" s="640"/>
    </row>
    <row r="156" spans="1:56" ht="15" thickBot="1">
      <c r="A156" s="174"/>
      <c r="B156" s="175"/>
      <c r="C156" s="174"/>
      <c r="D156" s="174"/>
      <c r="G156" s="178"/>
      <c r="H156" s="178"/>
      <c r="I156" s="178"/>
      <c r="T156" s="177"/>
      <c r="U156" s="179"/>
      <c r="V156" s="183"/>
      <c r="W156" s="183"/>
      <c r="X156" s="184"/>
      <c r="Y156" s="184"/>
      <c r="Z156" s="184"/>
      <c r="AA156" s="184"/>
      <c r="AB156" s="184"/>
      <c r="AC156" s="184"/>
      <c r="AD156" s="183"/>
      <c r="AE156" s="183"/>
      <c r="AF156" s="184"/>
      <c r="AG156" s="183"/>
      <c r="AH156" s="183"/>
      <c r="AI156" s="183"/>
      <c r="AJ156" s="180"/>
      <c r="AK156" s="180"/>
      <c r="AM156" s="239"/>
      <c r="AN156" s="197"/>
      <c r="AO156" s="202"/>
      <c r="AP156" s="202"/>
      <c r="AQ156" s="202"/>
      <c r="AR156" s="207"/>
      <c r="AS156" s="207"/>
      <c r="AT156" s="207"/>
      <c r="AU156" s="207"/>
      <c r="AV156" s="207"/>
      <c r="AW156" s="202"/>
      <c r="AX156" s="202"/>
      <c r="AY156" s="202"/>
      <c r="AZ156" s="202"/>
      <c r="BA156" s="202"/>
      <c r="BB156" s="202"/>
      <c r="BC156" s="215">
        <f t="shared" si="16"/>
        <v>0</v>
      </c>
      <c r="BD156" s="641"/>
    </row>
    <row r="157" spans="1:56" ht="15" thickBot="1">
      <c r="A157" s="174"/>
      <c r="B157" s="175"/>
      <c r="C157" s="174"/>
      <c r="D157" s="174"/>
      <c r="G157" s="178"/>
      <c r="H157" s="178"/>
      <c r="I157" s="178"/>
      <c r="T157" s="177"/>
      <c r="U157" s="179"/>
      <c r="V157" s="183"/>
      <c r="W157" s="183"/>
      <c r="X157" s="184"/>
      <c r="Y157" s="184"/>
      <c r="Z157" s="184"/>
      <c r="AA157" s="184"/>
      <c r="AB157" s="184"/>
      <c r="AC157" s="184"/>
      <c r="AD157" s="183"/>
      <c r="AE157" s="183"/>
      <c r="AF157" s="184"/>
      <c r="AG157" s="183"/>
      <c r="AH157" s="183"/>
      <c r="AI157" s="183"/>
      <c r="AJ157" s="180"/>
      <c r="AK157" s="180"/>
      <c r="AM157" s="206"/>
      <c r="AN157" s="250"/>
      <c r="AO157" s="12"/>
      <c r="AP157" s="12"/>
      <c r="AQ157" s="12"/>
      <c r="AR157" s="19"/>
      <c r="AS157" s="19"/>
      <c r="AT157" s="19"/>
      <c r="AU157" s="19"/>
      <c r="AV157" s="19"/>
      <c r="AW157" s="12"/>
      <c r="AX157" s="12"/>
      <c r="AY157" s="12"/>
      <c r="AZ157" s="12"/>
      <c r="BA157" s="12"/>
      <c r="BB157" s="12"/>
      <c r="BC157" s="215">
        <f t="shared" si="16"/>
        <v>0</v>
      </c>
      <c r="BD157" s="639"/>
    </row>
    <row r="158" spans="1:56">
      <c r="A158" s="174"/>
      <c r="B158" s="175"/>
      <c r="C158" s="174"/>
      <c r="D158" s="174"/>
      <c r="G158" s="178"/>
      <c r="H158" s="178"/>
      <c r="I158" s="178"/>
      <c r="T158" s="177"/>
      <c r="U158" s="179"/>
      <c r="V158" s="183"/>
      <c r="W158" s="183"/>
      <c r="X158" s="184"/>
      <c r="Y158" s="184"/>
      <c r="Z158" s="184"/>
      <c r="AA158" s="184"/>
      <c r="AB158" s="184"/>
      <c r="AC158" s="184"/>
      <c r="AD158" s="183"/>
      <c r="AE158" s="183"/>
      <c r="AF158" s="184"/>
      <c r="AG158" s="183"/>
      <c r="AH158" s="183"/>
      <c r="AI158" s="183"/>
      <c r="AJ158" s="180"/>
      <c r="AK158" s="180"/>
      <c r="AM158" s="247"/>
      <c r="AN158" s="195"/>
      <c r="AO158" s="12"/>
      <c r="AP158" s="12"/>
      <c r="AQ158" s="12"/>
      <c r="AR158" s="19"/>
      <c r="AS158" s="19"/>
      <c r="AT158" s="19"/>
      <c r="AU158" s="19"/>
      <c r="AV158" s="19"/>
      <c r="AW158" s="12"/>
      <c r="AX158" s="12"/>
      <c r="AY158" s="12"/>
      <c r="AZ158" s="12"/>
      <c r="BA158" s="12"/>
      <c r="BB158" s="12"/>
      <c r="BC158" s="215">
        <f t="shared" si="16"/>
        <v>0</v>
      </c>
      <c r="BD158" s="640"/>
    </row>
    <row r="159" spans="1:56">
      <c r="A159" s="174"/>
      <c r="B159" s="175"/>
      <c r="C159" s="174"/>
      <c r="D159" s="174"/>
      <c r="G159" s="178"/>
      <c r="H159" s="178"/>
      <c r="I159" s="178"/>
      <c r="T159" s="177"/>
      <c r="U159" s="179"/>
      <c r="V159" s="183"/>
      <c r="W159" s="183"/>
      <c r="X159" s="184"/>
      <c r="Y159" s="184"/>
      <c r="Z159" s="184"/>
      <c r="AA159" s="184"/>
      <c r="AB159" s="184"/>
      <c r="AC159" s="184"/>
      <c r="AD159" s="183"/>
      <c r="AE159" s="183"/>
      <c r="AF159" s="184"/>
      <c r="AG159" s="183"/>
      <c r="AH159" s="183"/>
      <c r="AI159" s="183"/>
      <c r="AJ159" s="180"/>
      <c r="AK159" s="180"/>
      <c r="AM159" s="196"/>
      <c r="AN159" s="195"/>
      <c r="AO159" s="12"/>
      <c r="AP159" s="12"/>
      <c r="AQ159" s="12"/>
      <c r="AR159" s="19"/>
      <c r="AS159" s="19"/>
      <c r="AT159" s="19"/>
      <c r="AU159" s="19"/>
      <c r="AV159" s="19"/>
      <c r="AW159" s="12"/>
      <c r="AX159" s="12"/>
      <c r="AY159" s="12"/>
      <c r="AZ159" s="12"/>
      <c r="BA159" s="12"/>
      <c r="BB159" s="12"/>
      <c r="BC159" s="215">
        <f t="shared" si="16"/>
        <v>0</v>
      </c>
      <c r="BD159" s="640"/>
    </row>
    <row r="160" spans="1:56">
      <c r="A160" s="174"/>
      <c r="B160" s="175"/>
      <c r="C160" s="174"/>
      <c r="D160" s="174"/>
      <c r="G160" s="178"/>
      <c r="H160" s="178"/>
      <c r="I160" s="178"/>
      <c r="T160" s="177"/>
      <c r="U160" s="179"/>
      <c r="V160" s="183"/>
      <c r="W160" s="183"/>
      <c r="X160" s="184"/>
      <c r="Y160" s="184"/>
      <c r="Z160" s="184"/>
      <c r="AA160" s="184"/>
      <c r="AB160" s="184"/>
      <c r="AC160" s="184"/>
      <c r="AD160" s="183"/>
      <c r="AE160" s="183"/>
      <c r="AF160" s="184"/>
      <c r="AG160" s="183"/>
      <c r="AH160" s="183"/>
      <c r="AI160" s="183"/>
      <c r="AJ160" s="180"/>
      <c r="AK160" s="180"/>
      <c r="AM160" s="196"/>
      <c r="AN160" s="195"/>
      <c r="AO160" s="12"/>
      <c r="AP160" s="12"/>
      <c r="AQ160" s="12"/>
      <c r="AR160" s="19"/>
      <c r="AS160" s="19"/>
      <c r="AT160" s="19"/>
      <c r="AU160" s="19"/>
      <c r="AV160" s="19"/>
      <c r="AW160" s="12"/>
      <c r="AX160" s="12"/>
      <c r="AY160" s="12"/>
      <c r="AZ160" s="12"/>
      <c r="BA160" s="12"/>
      <c r="BB160" s="12"/>
      <c r="BC160" s="215">
        <f t="shared" si="16"/>
        <v>0</v>
      </c>
      <c r="BD160" s="640"/>
    </row>
    <row r="161" spans="1:56">
      <c r="A161" s="174"/>
      <c r="B161" s="175"/>
      <c r="C161" s="174"/>
      <c r="D161" s="174"/>
      <c r="G161" s="178"/>
      <c r="H161" s="178"/>
      <c r="I161" s="178"/>
      <c r="T161" s="177"/>
      <c r="U161" s="179"/>
      <c r="V161" s="183"/>
      <c r="W161" s="183"/>
      <c r="X161" s="184"/>
      <c r="Y161" s="184"/>
      <c r="Z161" s="184"/>
      <c r="AA161" s="184"/>
      <c r="AB161" s="184"/>
      <c r="AC161" s="184"/>
      <c r="AD161" s="183"/>
      <c r="AE161" s="183"/>
      <c r="AF161" s="184"/>
      <c r="AG161" s="183"/>
      <c r="AH161" s="183"/>
      <c r="AI161" s="183"/>
      <c r="AJ161" s="180"/>
      <c r="AK161" s="180"/>
      <c r="AM161" s="196"/>
      <c r="AN161" s="195"/>
      <c r="AO161" s="12"/>
      <c r="AP161" s="12"/>
      <c r="AQ161" s="12"/>
      <c r="AR161" s="19"/>
      <c r="AS161" s="19"/>
      <c r="AT161" s="19"/>
      <c r="AU161" s="19"/>
      <c r="AV161" s="19"/>
      <c r="AW161" s="12"/>
      <c r="AX161" s="12"/>
      <c r="AY161" s="12"/>
      <c r="AZ161" s="12"/>
      <c r="BA161" s="12"/>
      <c r="BB161" s="12"/>
      <c r="BC161" s="215">
        <f t="shared" si="16"/>
        <v>0</v>
      </c>
      <c r="BD161" s="640"/>
    </row>
    <row r="162" spans="1:56" ht="15" thickBot="1">
      <c r="A162" s="174"/>
      <c r="B162" s="175"/>
      <c r="C162" s="174"/>
      <c r="D162" s="174"/>
      <c r="G162" s="178"/>
      <c r="H162" s="178"/>
      <c r="I162" s="178"/>
      <c r="T162" s="177"/>
      <c r="U162" s="179"/>
      <c r="V162" s="183"/>
      <c r="W162" s="183"/>
      <c r="X162" s="184"/>
      <c r="Y162" s="184"/>
      <c r="Z162" s="184"/>
      <c r="AA162" s="184"/>
      <c r="AB162" s="184"/>
      <c r="AC162" s="184"/>
      <c r="AD162" s="183"/>
      <c r="AE162" s="183"/>
      <c r="AF162" s="184"/>
      <c r="AG162" s="183"/>
      <c r="AH162" s="183"/>
      <c r="AI162" s="183"/>
      <c r="AJ162" s="180"/>
      <c r="AK162" s="180"/>
      <c r="AM162" s="198"/>
      <c r="AN162" s="197"/>
      <c r="AO162" s="202"/>
      <c r="AP162" s="202"/>
      <c r="AQ162" s="202"/>
      <c r="AR162" s="207"/>
      <c r="AS162" s="207"/>
      <c r="AT162" s="207"/>
      <c r="AU162" s="207"/>
      <c r="AV162" s="207"/>
      <c r="AW162" s="202"/>
      <c r="AX162" s="202"/>
      <c r="AY162" s="202"/>
      <c r="AZ162" s="202"/>
      <c r="BA162" s="202"/>
      <c r="BB162" s="202"/>
      <c r="BC162" s="249">
        <f>SUM(AQ162:BB162)</f>
        <v>0</v>
      </c>
      <c r="BD162" s="641"/>
    </row>
    <row r="163" spans="1:56">
      <c r="A163" s="174"/>
      <c r="B163" s="175"/>
      <c r="C163" s="176"/>
      <c r="D163" s="176"/>
      <c r="T163" s="177"/>
      <c r="U163" s="179"/>
      <c r="V163" s="180"/>
      <c r="W163" s="180"/>
      <c r="X163" s="180"/>
      <c r="Y163" s="180"/>
      <c r="Z163" s="181"/>
      <c r="AA163" s="181"/>
      <c r="AB163" s="181"/>
      <c r="AC163" s="181"/>
      <c r="AD163" s="180"/>
      <c r="AE163" s="180"/>
      <c r="AF163" s="180"/>
      <c r="AG163" s="181"/>
      <c r="AH163" s="181"/>
      <c r="AI163" s="180"/>
      <c r="AJ163" s="180"/>
      <c r="AK163" s="180"/>
      <c r="AM163" s="174"/>
      <c r="AN163" s="175"/>
    </row>
    <row r="164" spans="1:56">
      <c r="A164" s="174"/>
      <c r="B164" s="175"/>
      <c r="C164" s="176"/>
      <c r="D164" s="176"/>
      <c r="T164" s="177"/>
      <c r="U164" s="179"/>
      <c r="V164" s="177"/>
      <c r="W164" s="177"/>
      <c r="X164" s="181"/>
      <c r="Y164" s="181"/>
      <c r="Z164" s="181"/>
      <c r="AA164" s="181"/>
      <c r="AB164" s="180"/>
      <c r="AC164" s="181"/>
      <c r="AD164" s="180"/>
      <c r="AE164" s="180"/>
      <c r="AF164" s="180"/>
      <c r="AG164" s="181"/>
      <c r="AH164" s="180"/>
      <c r="AI164" s="180"/>
      <c r="AJ164" s="180"/>
      <c r="AK164" s="180"/>
      <c r="AM164" s="174"/>
      <c r="AN164" s="175"/>
    </row>
    <row r="165" spans="1:56">
      <c r="A165" s="174"/>
      <c r="B165" s="175"/>
      <c r="C165" s="176"/>
      <c r="D165" s="176"/>
      <c r="T165" s="177"/>
      <c r="U165" s="179"/>
      <c r="V165" s="180"/>
      <c r="W165" s="180"/>
      <c r="X165" s="181"/>
      <c r="Y165" s="181"/>
      <c r="Z165" s="181"/>
      <c r="AA165" s="180"/>
      <c r="AB165" s="180"/>
      <c r="AC165" s="181"/>
      <c r="AD165" s="181"/>
      <c r="AE165" s="180"/>
      <c r="AF165" s="180"/>
      <c r="AG165" s="180"/>
      <c r="AH165" s="180"/>
      <c r="AI165" s="180"/>
      <c r="AJ165" s="180"/>
      <c r="AK165" s="180"/>
      <c r="AM165" s="174"/>
      <c r="AN165" s="175"/>
    </row>
    <row r="166" spans="1:56">
      <c r="A166" s="174"/>
      <c r="B166" s="175"/>
      <c r="C166" s="176"/>
      <c r="D166" s="176"/>
      <c r="T166" s="177"/>
      <c r="U166" s="179"/>
      <c r="V166" s="180"/>
      <c r="W166" s="180"/>
      <c r="X166" s="181"/>
      <c r="Y166" s="181"/>
      <c r="Z166" s="181"/>
      <c r="AA166" s="180"/>
      <c r="AB166" s="180"/>
      <c r="AC166" s="181"/>
      <c r="AD166" s="181"/>
      <c r="AE166" s="180"/>
      <c r="AF166" s="180"/>
      <c r="AG166" s="180"/>
      <c r="AH166" s="180"/>
      <c r="AI166" s="180"/>
      <c r="AJ166" s="180"/>
      <c r="AK166" s="180"/>
      <c r="AM166" s="174"/>
      <c r="AN166" s="175"/>
    </row>
    <row r="167" spans="1:56">
      <c r="A167" s="174"/>
      <c r="B167" s="175"/>
      <c r="C167" s="176"/>
      <c r="D167" s="176"/>
      <c r="T167" s="177"/>
      <c r="U167" s="179"/>
      <c r="V167" s="180"/>
      <c r="W167" s="177"/>
      <c r="X167" s="180"/>
      <c r="Y167" s="181"/>
      <c r="Z167" s="181"/>
      <c r="AA167" s="181"/>
      <c r="AB167" s="181"/>
      <c r="AC167" s="180"/>
      <c r="AD167" s="180"/>
      <c r="AE167" s="180"/>
      <c r="AF167" s="180"/>
      <c r="AG167" s="181"/>
      <c r="AH167" s="181"/>
      <c r="AI167" s="180"/>
      <c r="AJ167" s="180"/>
      <c r="AK167" s="180"/>
      <c r="AM167" s="174"/>
      <c r="AN167" s="175"/>
    </row>
    <row r="168" spans="1:56">
      <c r="A168" s="174"/>
      <c r="B168" s="175"/>
      <c r="C168" s="176"/>
      <c r="D168" s="176"/>
      <c r="T168" s="177"/>
      <c r="U168" s="179"/>
      <c r="V168" s="180"/>
      <c r="W168" s="180"/>
      <c r="X168" s="180"/>
      <c r="Y168" s="180"/>
      <c r="Z168" s="181"/>
      <c r="AA168" s="181"/>
      <c r="AB168" s="181"/>
      <c r="AC168" s="181"/>
      <c r="AD168" s="181"/>
      <c r="AE168" s="180"/>
      <c r="AF168" s="180"/>
      <c r="AG168" s="181"/>
      <c r="AH168" s="180"/>
      <c r="AI168" s="180"/>
      <c r="AJ168" s="180"/>
      <c r="AK168" s="180"/>
      <c r="AM168" s="174"/>
      <c r="AN168" s="175"/>
    </row>
    <row r="169" spans="1:56">
      <c r="A169" s="174"/>
      <c r="B169" s="175"/>
      <c r="C169" s="176"/>
      <c r="D169" s="176"/>
      <c r="T169" s="177"/>
      <c r="U169" s="179"/>
      <c r="V169" s="180"/>
      <c r="W169" s="180"/>
      <c r="X169" s="180"/>
      <c r="Y169" s="181"/>
      <c r="Z169" s="181"/>
      <c r="AA169" s="181"/>
      <c r="AB169" s="181"/>
      <c r="AC169" s="181"/>
      <c r="AD169" s="180"/>
      <c r="AE169" s="180"/>
      <c r="AF169" s="180"/>
      <c r="AG169" s="180"/>
      <c r="AH169" s="180"/>
      <c r="AI169" s="180"/>
      <c r="AJ169" s="180"/>
      <c r="AK169" s="180"/>
      <c r="AM169" s="174"/>
      <c r="AN169" s="175"/>
    </row>
    <row r="170" spans="1:56">
      <c r="A170" s="174"/>
      <c r="B170" s="175"/>
      <c r="C170" s="176"/>
      <c r="D170" s="176"/>
      <c r="T170" s="177"/>
      <c r="U170" s="179"/>
      <c r="V170" s="180"/>
      <c r="W170" s="180"/>
      <c r="X170" s="181"/>
      <c r="Y170" s="181"/>
      <c r="Z170" s="181"/>
      <c r="AA170" s="181"/>
      <c r="AB170" s="180"/>
      <c r="AC170" s="180"/>
      <c r="AD170" s="181"/>
      <c r="AE170" s="180"/>
      <c r="AF170" s="181"/>
      <c r="AG170" s="181"/>
      <c r="AH170" s="181"/>
      <c r="AI170" s="180"/>
      <c r="AJ170" s="180"/>
      <c r="AK170" s="180"/>
      <c r="AM170" s="174"/>
      <c r="AN170" s="175"/>
    </row>
    <row r="171" spans="1:56">
      <c r="A171" s="174"/>
      <c r="B171" s="175"/>
      <c r="C171" s="176"/>
      <c r="D171" s="176"/>
      <c r="T171" s="177"/>
      <c r="U171" s="179"/>
      <c r="V171" s="180"/>
      <c r="W171" s="180"/>
      <c r="X171" s="180"/>
      <c r="Y171" s="180"/>
      <c r="Z171" s="181"/>
      <c r="AA171" s="181"/>
      <c r="AB171" s="180"/>
      <c r="AC171" s="181"/>
      <c r="AD171" s="180"/>
      <c r="AE171" s="180"/>
      <c r="AF171" s="180"/>
      <c r="AG171" s="180"/>
      <c r="AH171" s="180"/>
      <c r="AI171" s="180"/>
      <c r="AJ171" s="180"/>
      <c r="AK171" s="180"/>
      <c r="AM171" s="174"/>
      <c r="AN171" s="175"/>
    </row>
    <row r="172" spans="1:56">
      <c r="A172" s="174"/>
      <c r="B172" s="175"/>
      <c r="C172" s="176"/>
      <c r="D172" s="176"/>
      <c r="T172" s="174"/>
      <c r="U172" s="175"/>
      <c r="Y172" s="185"/>
      <c r="Z172" s="185"/>
      <c r="AA172" s="185"/>
      <c r="AB172" s="185"/>
      <c r="AC172" s="185"/>
      <c r="AJ172" s="180"/>
      <c r="AK172" s="180"/>
      <c r="AM172" s="174"/>
      <c r="AN172" s="175"/>
    </row>
    <row r="173" spans="1:56">
      <c r="A173" s="174"/>
      <c r="B173" s="175"/>
      <c r="C173" s="176"/>
      <c r="D173" s="176"/>
      <c r="T173" s="177"/>
      <c r="U173" s="175"/>
      <c r="X173" s="185"/>
      <c r="Z173" s="185"/>
      <c r="AA173" s="185"/>
      <c r="AC173" s="185"/>
      <c r="AE173" s="185"/>
      <c r="AF173" s="185"/>
      <c r="AJ173" s="180"/>
      <c r="AK173" s="180"/>
      <c r="AM173" s="174"/>
      <c r="AN173" s="175"/>
    </row>
    <row r="174" spans="1:56">
      <c r="A174" s="174"/>
      <c r="B174" s="175"/>
      <c r="C174" s="176"/>
      <c r="D174" s="176"/>
      <c r="T174" s="177"/>
      <c r="U174" s="175"/>
      <c r="X174" s="185"/>
      <c r="Z174" s="185"/>
      <c r="AA174" s="185"/>
      <c r="AB174" s="185"/>
      <c r="AC174" s="185"/>
      <c r="AJ174" s="180"/>
      <c r="AK174" s="180"/>
      <c r="AM174" s="174"/>
      <c r="AN174" s="175"/>
    </row>
    <row r="175" spans="1:56">
      <c r="A175" s="174"/>
      <c r="B175" s="175"/>
      <c r="C175" s="176"/>
      <c r="D175" s="176"/>
      <c r="T175" s="174"/>
      <c r="U175" s="175"/>
      <c r="X175" s="174"/>
      <c r="Y175" s="186"/>
      <c r="Z175" s="186"/>
      <c r="AA175" s="186"/>
      <c r="AB175" s="186"/>
      <c r="AC175" s="186"/>
      <c r="AD175" s="186"/>
      <c r="AE175" s="174"/>
      <c r="AF175" s="174"/>
      <c r="AG175" s="174"/>
      <c r="AH175" s="174"/>
      <c r="AI175" s="174"/>
      <c r="AJ175" s="180"/>
      <c r="AK175" s="180"/>
      <c r="AM175" s="174"/>
      <c r="AN175" s="175"/>
    </row>
    <row r="176" spans="1:56">
      <c r="A176" s="177"/>
      <c r="B176" s="175"/>
      <c r="C176" s="176"/>
      <c r="D176" s="176"/>
      <c r="T176" s="174"/>
      <c r="U176" s="175"/>
      <c r="W176" s="174"/>
      <c r="X176" s="174"/>
      <c r="Y176" s="186"/>
      <c r="Z176" s="186"/>
      <c r="AA176" s="186"/>
      <c r="AB176" s="186"/>
      <c r="AC176" s="186"/>
      <c r="AD176" s="186"/>
      <c r="AE176" s="174"/>
      <c r="AF176" s="174"/>
      <c r="AG176" s="174"/>
      <c r="AH176" s="174"/>
      <c r="AI176" s="174"/>
      <c r="AJ176" s="180"/>
      <c r="AK176" s="180"/>
      <c r="AM176" s="174"/>
      <c r="AN176" s="175"/>
    </row>
    <row r="177" spans="1:42">
      <c r="A177" s="174"/>
      <c r="B177" s="175"/>
      <c r="C177" s="176"/>
      <c r="D177" s="176"/>
      <c r="T177" s="174"/>
      <c r="U177" s="175"/>
      <c r="V177" s="174"/>
      <c r="W177" s="174"/>
      <c r="X177" s="174"/>
      <c r="Y177" s="186"/>
      <c r="Z177" s="186"/>
      <c r="AA177" s="186"/>
      <c r="AB177" s="186"/>
      <c r="AC177" s="186"/>
      <c r="AD177" s="186"/>
      <c r="AE177" s="186"/>
      <c r="AF177" s="186"/>
      <c r="AG177" s="174"/>
      <c r="AH177" s="186"/>
      <c r="AI177" s="186"/>
      <c r="AJ177" s="180"/>
      <c r="AK177" s="180"/>
      <c r="AM177" s="174"/>
      <c r="AN177" s="175"/>
      <c r="AO177" s="174"/>
      <c r="AP177" s="174"/>
    </row>
    <row r="178" spans="1:42">
      <c r="A178" s="174"/>
      <c r="B178" s="175"/>
      <c r="C178" s="176"/>
      <c r="D178" s="176"/>
      <c r="T178" s="174"/>
      <c r="U178" s="175"/>
      <c r="W178" s="174"/>
      <c r="Z178" s="185"/>
      <c r="AA178" s="186"/>
      <c r="AC178" s="186"/>
      <c r="AD178" s="185"/>
      <c r="AJ178" s="180"/>
      <c r="AK178" s="180"/>
      <c r="AM178" s="174"/>
      <c r="AN178" s="175"/>
    </row>
    <row r="179" spans="1:42">
      <c r="A179" s="174"/>
      <c r="B179" s="175"/>
      <c r="C179" s="176"/>
      <c r="D179" s="176"/>
      <c r="T179" s="174"/>
      <c r="U179" s="175"/>
      <c r="W179" s="174"/>
      <c r="AB179" s="186"/>
      <c r="AC179" s="185"/>
      <c r="AE179" s="185"/>
      <c r="AJ179" s="180"/>
      <c r="AK179" s="180"/>
      <c r="AM179" s="174"/>
      <c r="AN179" s="175"/>
    </row>
    <row r="180" spans="1:42">
      <c r="A180" s="174"/>
      <c r="B180" s="175"/>
      <c r="C180" s="176"/>
      <c r="D180" s="176"/>
      <c r="T180" s="174"/>
      <c r="U180" s="175"/>
      <c r="X180" s="185"/>
      <c r="AA180" s="186"/>
      <c r="AB180" s="186"/>
      <c r="AC180" s="185"/>
      <c r="AE180" s="185"/>
      <c r="AH180" s="185"/>
      <c r="AJ180" s="180"/>
      <c r="AK180" s="180"/>
      <c r="AM180" s="174"/>
      <c r="AN180" s="175"/>
      <c r="AP180" s="176"/>
    </row>
    <row r="181" spans="1:42">
      <c r="A181" s="174"/>
      <c r="B181" s="175"/>
      <c r="C181" s="176"/>
      <c r="D181" s="176"/>
      <c r="T181" s="174"/>
      <c r="U181" s="175"/>
      <c r="X181" s="185"/>
      <c r="Y181" s="185"/>
      <c r="Z181" s="185"/>
      <c r="AA181" s="186"/>
      <c r="AB181" s="186"/>
      <c r="AC181" s="186"/>
      <c r="AD181" s="186"/>
      <c r="AJ181" s="180"/>
      <c r="AK181" s="180"/>
      <c r="AM181" s="174"/>
      <c r="AN181" s="175"/>
    </row>
    <row r="182" spans="1:42">
      <c r="A182" s="174"/>
      <c r="B182" s="175"/>
      <c r="C182" s="176"/>
      <c r="D182" s="176"/>
      <c r="T182" s="174"/>
      <c r="U182" s="175"/>
      <c r="W182" s="174"/>
      <c r="Y182" s="185"/>
      <c r="Z182" s="185"/>
      <c r="AA182" s="186"/>
      <c r="AB182" s="186"/>
      <c r="AC182" s="186"/>
      <c r="AJ182" s="180"/>
      <c r="AK182" s="180"/>
      <c r="AM182" s="174"/>
      <c r="AN182" s="175"/>
    </row>
    <row r="183" spans="1:42">
      <c r="A183" s="177"/>
      <c r="B183" s="175"/>
      <c r="C183" s="176"/>
      <c r="D183" s="176"/>
      <c r="T183" s="177"/>
      <c r="U183" s="175"/>
      <c r="X183" s="185"/>
      <c r="Y183" s="185"/>
      <c r="Z183" s="185"/>
      <c r="AA183" s="185"/>
      <c r="AB183" s="185"/>
      <c r="AC183" s="186"/>
      <c r="AJ183" s="180"/>
      <c r="AK183" s="180"/>
      <c r="AM183" s="174"/>
      <c r="AN183" s="175"/>
    </row>
    <row r="184" spans="1:42">
      <c r="A184" s="174"/>
      <c r="B184" s="175"/>
      <c r="C184" s="174"/>
      <c r="D184" s="176"/>
      <c r="T184" s="174"/>
      <c r="U184" s="175"/>
      <c r="AA184" s="186"/>
      <c r="AB184" s="186"/>
      <c r="AC184" s="186"/>
      <c r="AD184" s="185"/>
      <c r="AE184" s="185"/>
      <c r="AF184" s="185"/>
      <c r="AG184" s="185"/>
      <c r="AH184" s="185"/>
      <c r="AJ184" s="180"/>
      <c r="AK184" s="180"/>
      <c r="AM184" s="174"/>
      <c r="AN184" s="175"/>
    </row>
    <row r="185" spans="1:42">
      <c r="A185" s="174"/>
      <c r="B185" s="175"/>
      <c r="C185" s="174"/>
      <c r="D185" s="176"/>
      <c r="T185" s="174"/>
      <c r="U185" s="175"/>
      <c r="Z185" s="185"/>
      <c r="AA185" s="185"/>
      <c r="AB185" s="185"/>
      <c r="AC185" s="186"/>
      <c r="AJ185" s="180"/>
      <c r="AK185" s="180"/>
      <c r="AM185" s="174"/>
      <c r="AN185" s="175"/>
    </row>
    <row r="186" spans="1:42">
      <c r="A186" s="174"/>
      <c r="B186" s="175"/>
      <c r="C186" s="174"/>
      <c r="D186" s="176"/>
      <c r="T186" s="174"/>
      <c r="U186" s="175"/>
      <c r="V186" s="174"/>
      <c r="W186" s="174"/>
      <c r="X186" s="185"/>
      <c r="Z186" s="185"/>
      <c r="AJ186" s="180"/>
      <c r="AK186" s="180"/>
      <c r="AM186" s="174"/>
      <c r="AN186" s="175"/>
    </row>
    <row r="187" spans="1:42">
      <c r="A187" s="174"/>
      <c r="B187" s="175"/>
      <c r="C187" s="176"/>
      <c r="D187" s="176"/>
      <c r="T187" s="174"/>
      <c r="U187" s="175"/>
      <c r="W187" s="174"/>
      <c r="Z187" s="185"/>
      <c r="AA187" s="185"/>
      <c r="AC187" s="186"/>
      <c r="AJ187" s="180"/>
      <c r="AK187" s="180"/>
      <c r="AM187" s="174"/>
      <c r="AN187" s="175"/>
    </row>
    <row r="188" spans="1:42">
      <c r="A188" s="174"/>
      <c r="B188" s="175"/>
      <c r="C188" s="176"/>
      <c r="D188" s="176"/>
      <c r="T188" s="174"/>
      <c r="U188" s="175"/>
      <c r="V188" s="174"/>
      <c r="W188" s="174"/>
      <c r="AA188" s="185"/>
      <c r="AJ188" s="180"/>
      <c r="AK188" s="180"/>
      <c r="AM188" s="174"/>
      <c r="AN188" s="175"/>
    </row>
    <row r="189" spans="1:42">
      <c r="A189" s="174"/>
      <c r="B189" s="175"/>
      <c r="C189" s="176"/>
      <c r="D189" s="176"/>
      <c r="T189" s="177"/>
      <c r="U189" s="175"/>
      <c r="Y189" s="185"/>
      <c r="Z189" s="185"/>
      <c r="AA189" s="185"/>
      <c r="AB189" s="185"/>
      <c r="AJ189" s="180"/>
      <c r="AK189" s="180"/>
      <c r="AM189" s="177"/>
      <c r="AN189" s="175"/>
    </row>
    <row r="190" spans="1:42">
      <c r="A190" s="174"/>
      <c r="B190" s="175"/>
      <c r="C190" s="176"/>
      <c r="D190" s="176"/>
      <c r="T190" s="177"/>
      <c r="U190" s="175"/>
      <c r="Y190" s="185"/>
      <c r="Z190" s="185"/>
      <c r="AA190" s="185"/>
      <c r="AB190" s="185"/>
      <c r="AJ190" s="180"/>
      <c r="AK190" s="180"/>
      <c r="AM190" s="174"/>
      <c r="AN190" s="175"/>
    </row>
    <row r="191" spans="1:42">
      <c r="A191" s="174"/>
      <c r="B191" s="175"/>
      <c r="C191" s="176"/>
      <c r="D191" s="176"/>
      <c r="T191" s="174"/>
      <c r="U191" s="175"/>
      <c r="V191" s="174"/>
      <c r="W191" s="174"/>
      <c r="Y191" s="185"/>
      <c r="Z191" s="185"/>
      <c r="AA191" s="185"/>
      <c r="AB191" s="185"/>
      <c r="AH191" s="185"/>
      <c r="AJ191" s="180"/>
      <c r="AK191" s="180"/>
      <c r="AM191" s="174"/>
      <c r="AN191" s="175"/>
    </row>
    <row r="192" spans="1:42">
      <c r="A192" s="174"/>
      <c r="B192" s="175"/>
      <c r="C192" s="176"/>
      <c r="D192" s="176"/>
      <c r="T192" s="174"/>
      <c r="U192" s="175"/>
      <c r="W192" s="174"/>
      <c r="Y192" s="185"/>
      <c r="Z192" s="185"/>
      <c r="AA192" s="185"/>
      <c r="AJ192" s="180"/>
      <c r="AK192" s="180"/>
      <c r="AM192" s="174"/>
      <c r="AN192" s="175"/>
    </row>
    <row r="193" spans="1:40">
      <c r="A193" s="174"/>
      <c r="B193" s="175"/>
      <c r="C193" s="174"/>
      <c r="D193" s="176"/>
      <c r="T193" s="174"/>
      <c r="U193" s="175"/>
      <c r="W193" s="174"/>
      <c r="X193" s="185"/>
      <c r="Z193" s="186"/>
      <c r="AA193" s="185"/>
      <c r="AJ193" s="180"/>
      <c r="AK193" s="180"/>
      <c r="AM193" s="177"/>
      <c r="AN193" s="179"/>
    </row>
    <row r="194" spans="1:40">
      <c r="A194" s="174"/>
      <c r="B194" s="175"/>
      <c r="C194" s="174"/>
      <c r="D194" s="176"/>
      <c r="T194" s="174"/>
      <c r="U194" s="175"/>
      <c r="Y194" s="185"/>
      <c r="Z194" s="185"/>
      <c r="AA194" s="185"/>
      <c r="AB194" s="185"/>
      <c r="AC194" s="185"/>
      <c r="AJ194" s="180"/>
      <c r="AK194" s="180"/>
      <c r="AM194" s="177"/>
      <c r="AN194" s="179"/>
    </row>
    <row r="195" spans="1:40">
      <c r="A195" s="174"/>
      <c r="B195" s="175"/>
      <c r="C195" s="174"/>
      <c r="D195" s="176"/>
      <c r="T195" s="174"/>
      <c r="U195" s="175"/>
      <c r="V195" s="174"/>
      <c r="W195" s="174"/>
      <c r="AA195" s="185"/>
      <c r="AB195" s="185"/>
      <c r="AC195" s="185"/>
      <c r="AJ195" s="180"/>
      <c r="AK195" s="180"/>
      <c r="AM195" s="177"/>
      <c r="AN195" s="179"/>
    </row>
    <row r="196" spans="1:40">
      <c r="A196" s="174"/>
      <c r="B196" s="175"/>
      <c r="C196" s="176"/>
      <c r="D196" s="176"/>
      <c r="T196" s="177"/>
      <c r="U196" s="175"/>
      <c r="W196" s="174"/>
      <c r="Z196" s="185"/>
      <c r="AA196" s="185"/>
      <c r="AC196" s="185"/>
      <c r="AD196" s="185"/>
      <c r="AF196" s="185"/>
      <c r="AJ196" s="180"/>
      <c r="AK196" s="180"/>
      <c r="AM196" s="177"/>
      <c r="AN196" s="179"/>
    </row>
    <row r="197" spans="1:40">
      <c r="A197" s="174"/>
      <c r="B197" s="175"/>
      <c r="C197" s="176"/>
      <c r="D197" s="176"/>
      <c r="T197" s="177"/>
      <c r="U197" s="175"/>
      <c r="W197" s="174"/>
      <c r="AA197" s="185"/>
      <c r="AB197" s="185"/>
      <c r="AC197" s="185"/>
      <c r="AJ197" s="180"/>
      <c r="AK197" s="180"/>
      <c r="AM197" s="177"/>
      <c r="AN197" s="179"/>
    </row>
    <row r="198" spans="1:40">
      <c r="A198" s="174"/>
      <c r="B198" s="175"/>
      <c r="C198" s="176"/>
      <c r="D198" s="176"/>
      <c r="T198" s="177"/>
      <c r="U198" s="175"/>
      <c r="W198" s="174"/>
      <c r="Y198" s="185"/>
      <c r="Z198" s="185"/>
      <c r="AA198" s="185"/>
      <c r="AJ198" s="180"/>
      <c r="AK198" s="180"/>
      <c r="AM198" s="177"/>
      <c r="AN198" s="179"/>
    </row>
    <row r="199" spans="1:40">
      <c r="A199" s="177"/>
      <c r="B199" s="175"/>
      <c r="C199" s="176"/>
      <c r="D199" s="176"/>
      <c r="T199" s="174"/>
      <c r="U199" s="175"/>
      <c r="V199" s="174"/>
      <c r="W199" s="174"/>
      <c r="Y199" s="185"/>
      <c r="Z199" s="185"/>
      <c r="AA199" s="185"/>
      <c r="AB199" s="185"/>
      <c r="AC199" s="185"/>
      <c r="AJ199" s="180"/>
      <c r="AK199" s="180"/>
      <c r="AM199" s="177"/>
      <c r="AN199" s="179"/>
    </row>
    <row r="200" spans="1:40">
      <c r="A200" s="177"/>
      <c r="B200" s="175"/>
      <c r="C200" s="176"/>
      <c r="D200" s="176"/>
      <c r="T200" s="174"/>
      <c r="U200" s="175"/>
      <c r="V200" s="174"/>
      <c r="W200" s="174"/>
      <c r="AA200" s="185"/>
      <c r="AC200" s="185"/>
      <c r="AJ200" s="180"/>
      <c r="AK200" s="180"/>
      <c r="AM200" s="177"/>
      <c r="AN200" s="179"/>
    </row>
    <row r="201" spans="1:40">
      <c r="A201" s="174"/>
      <c r="B201" s="175"/>
      <c r="C201" s="176"/>
      <c r="D201" s="176"/>
      <c r="T201" s="174"/>
      <c r="U201" s="175"/>
      <c r="V201" s="174"/>
      <c r="W201" s="174"/>
      <c r="Z201" s="185"/>
      <c r="AA201" s="185"/>
      <c r="AB201" s="185"/>
      <c r="AC201" s="185"/>
      <c r="AJ201" s="180"/>
      <c r="AK201" s="180"/>
      <c r="AM201" s="177"/>
      <c r="AN201" s="179"/>
    </row>
    <row r="202" spans="1:40">
      <c r="A202" s="174"/>
      <c r="B202" s="175"/>
      <c r="C202" s="176"/>
      <c r="D202" s="176"/>
      <c r="T202" s="174"/>
      <c r="U202" s="175"/>
      <c r="W202" s="174"/>
      <c r="Y202" s="185"/>
      <c r="Z202" s="185"/>
      <c r="AA202" s="185"/>
      <c r="AJ202" s="180"/>
      <c r="AK202" s="180"/>
      <c r="AM202" s="177"/>
      <c r="AN202" s="179"/>
    </row>
    <row r="203" spans="1:40">
      <c r="A203" s="174"/>
      <c r="B203" s="175"/>
      <c r="C203" s="176"/>
      <c r="D203" s="176"/>
      <c r="T203" s="174"/>
      <c r="U203" s="175"/>
      <c r="V203" s="174"/>
      <c r="W203" s="174"/>
      <c r="Y203" s="185"/>
      <c r="Z203" s="185"/>
      <c r="AA203" s="185"/>
      <c r="AB203" s="185"/>
      <c r="AG203" s="185"/>
      <c r="AJ203" s="180"/>
      <c r="AK203" s="180"/>
      <c r="AM203" s="177"/>
      <c r="AN203" s="179"/>
    </row>
    <row r="204" spans="1:40">
      <c r="A204" s="174"/>
      <c r="B204" s="175"/>
      <c r="C204" s="176"/>
      <c r="D204" s="176"/>
      <c r="T204" s="174"/>
      <c r="U204" s="175"/>
      <c r="W204" s="174"/>
      <c r="Z204" s="185"/>
      <c r="AA204" s="185"/>
      <c r="AB204" s="185"/>
      <c r="AG204" s="185"/>
      <c r="AJ204" s="180"/>
      <c r="AK204" s="180"/>
      <c r="AM204" s="177"/>
      <c r="AN204" s="179"/>
    </row>
    <row r="205" spans="1:40">
      <c r="A205" s="177"/>
      <c r="B205" s="175"/>
      <c r="C205" s="176"/>
      <c r="D205" s="176"/>
      <c r="T205" s="174"/>
      <c r="U205" s="175"/>
      <c r="V205" s="174"/>
      <c r="W205" s="174"/>
      <c r="X205" s="185"/>
      <c r="Y205" s="185"/>
      <c r="Z205" s="185"/>
      <c r="AA205" s="185"/>
      <c r="AJ205" s="180"/>
      <c r="AK205" s="180"/>
      <c r="AM205" s="177"/>
      <c r="AN205" s="179"/>
    </row>
    <row r="206" spans="1:40">
      <c r="A206" s="177"/>
      <c r="B206" s="175"/>
      <c r="C206" s="176"/>
      <c r="D206" s="176"/>
      <c r="T206" s="180"/>
      <c r="U206" s="175"/>
      <c r="W206" s="174"/>
      <c r="AJ206" s="180"/>
      <c r="AK206" s="180"/>
      <c r="AM206" s="177"/>
      <c r="AN206" s="179"/>
    </row>
    <row r="207" spans="1:40">
      <c r="A207" s="174"/>
      <c r="B207" s="175"/>
      <c r="C207" s="176"/>
      <c r="D207" s="176"/>
      <c r="U207" s="175"/>
      <c r="V207" s="174"/>
      <c r="W207" s="174"/>
      <c r="AJ207" s="180"/>
      <c r="AK207" s="180"/>
      <c r="AM207" s="177"/>
      <c r="AN207" s="179"/>
    </row>
    <row r="208" spans="1:40">
      <c r="A208" s="174"/>
      <c r="B208" s="175"/>
      <c r="C208" s="176"/>
      <c r="D208" s="176"/>
      <c r="U208" s="175"/>
      <c r="V208" s="174"/>
      <c r="AJ208" s="180"/>
      <c r="AK208" s="180"/>
      <c r="AM208" s="177"/>
      <c r="AN208" s="179"/>
    </row>
    <row r="209" spans="1:40">
      <c r="A209" s="174"/>
      <c r="B209" s="175"/>
      <c r="C209" s="176"/>
      <c r="D209" s="176"/>
      <c r="T209" s="174"/>
      <c r="U209" s="175"/>
      <c r="Y209" s="185"/>
      <c r="AJ209" s="180"/>
      <c r="AK209" s="180"/>
      <c r="AM209" s="177"/>
      <c r="AN209" s="179"/>
    </row>
    <row r="210" spans="1:40">
      <c r="A210" s="177"/>
      <c r="B210" s="175"/>
      <c r="C210" s="176"/>
      <c r="D210" s="176"/>
      <c r="T210" s="174"/>
      <c r="U210" s="175"/>
      <c r="AD210" s="185"/>
      <c r="AJ210" s="180"/>
      <c r="AK210" s="180"/>
      <c r="AM210" s="177"/>
      <c r="AN210" s="179"/>
    </row>
    <row r="211" spans="1:40">
      <c r="A211" s="174"/>
      <c r="B211" s="175"/>
      <c r="C211" s="176"/>
      <c r="D211" s="176"/>
      <c r="T211" s="174"/>
      <c r="U211" s="175"/>
      <c r="AC211" s="185"/>
      <c r="AJ211" s="180"/>
      <c r="AK211" s="180"/>
      <c r="AM211" s="177"/>
      <c r="AN211" s="179"/>
    </row>
    <row r="212" spans="1:40">
      <c r="A212" s="174"/>
      <c r="B212" s="175"/>
      <c r="C212" s="176"/>
      <c r="D212" s="176"/>
      <c r="T212" s="174"/>
      <c r="U212" s="175"/>
      <c r="AE212" s="185"/>
      <c r="AF212" s="185"/>
      <c r="AJ212" s="180"/>
      <c r="AK212" s="180"/>
      <c r="AM212" s="177"/>
      <c r="AN212" s="179"/>
    </row>
    <row r="213" spans="1:40">
      <c r="A213" s="174"/>
      <c r="B213" s="175"/>
      <c r="C213" s="176"/>
      <c r="D213" s="176"/>
      <c r="T213" s="174"/>
      <c r="U213" s="175"/>
      <c r="Z213" s="185"/>
      <c r="AA213" s="185"/>
      <c r="AC213" s="185"/>
      <c r="AJ213" s="180"/>
      <c r="AK213" s="180"/>
      <c r="AM213" s="177"/>
      <c r="AN213" s="179"/>
    </row>
    <row r="214" spans="1:40">
      <c r="A214" s="174"/>
      <c r="B214" s="175"/>
      <c r="C214" s="176"/>
      <c r="D214" s="176"/>
      <c r="T214" s="174"/>
      <c r="U214" s="175"/>
      <c r="Y214" s="185"/>
      <c r="Z214" s="185"/>
      <c r="AA214" s="185"/>
      <c r="AB214" s="185"/>
      <c r="AC214" s="185"/>
      <c r="AJ214" s="180"/>
      <c r="AK214" s="180"/>
      <c r="AM214" s="177"/>
      <c r="AN214" s="179"/>
    </row>
    <row r="215" spans="1:40">
      <c r="A215" s="174"/>
      <c r="B215" s="175"/>
      <c r="C215" s="176"/>
      <c r="D215" s="176"/>
      <c r="T215" s="174"/>
      <c r="U215" s="175"/>
      <c r="AD215" s="185"/>
      <c r="AE215" s="185"/>
      <c r="AH215" s="185"/>
      <c r="AJ215" s="180"/>
      <c r="AK215" s="180"/>
      <c r="AM215" s="177"/>
      <c r="AN215" s="179"/>
    </row>
    <row r="216" spans="1:40">
      <c r="A216" s="174"/>
      <c r="B216" s="175"/>
      <c r="C216" s="176"/>
      <c r="D216" s="176"/>
      <c r="T216" s="174"/>
      <c r="U216" s="175"/>
      <c r="Z216" s="185"/>
      <c r="AB216" s="185"/>
      <c r="AJ216" s="180"/>
      <c r="AK216" s="180"/>
      <c r="AM216" s="177"/>
      <c r="AN216" s="179"/>
    </row>
    <row r="217" spans="1:40">
      <c r="A217" s="174"/>
      <c r="B217" s="175"/>
      <c r="C217" s="176"/>
      <c r="D217" s="176"/>
      <c r="T217" s="177"/>
      <c r="U217" s="175"/>
      <c r="Z217" s="185"/>
      <c r="AD217" s="185"/>
      <c r="AJ217" s="180"/>
      <c r="AK217" s="180"/>
      <c r="AM217" s="177"/>
      <c r="AN217" s="179"/>
    </row>
    <row r="218" spans="1:40">
      <c r="A218" s="174"/>
      <c r="B218" s="175"/>
      <c r="C218" s="176"/>
      <c r="D218" s="176"/>
      <c r="T218" s="174"/>
      <c r="U218" s="175"/>
      <c r="AJ218" s="180"/>
      <c r="AK218" s="180"/>
      <c r="AM218" s="177"/>
      <c r="AN218" s="179"/>
    </row>
    <row r="219" spans="1:40">
      <c r="A219" s="174"/>
      <c r="B219" s="175"/>
      <c r="C219" s="176"/>
      <c r="D219" s="176"/>
      <c r="T219" s="174"/>
      <c r="U219" s="175"/>
      <c r="Y219" s="185"/>
      <c r="AC219" s="185"/>
      <c r="AJ219" s="180"/>
      <c r="AK219" s="180"/>
      <c r="AM219" s="177"/>
      <c r="AN219" s="179"/>
    </row>
    <row r="220" spans="1:40">
      <c r="A220" s="174"/>
      <c r="B220" s="175"/>
      <c r="C220" s="176"/>
      <c r="D220" s="176"/>
      <c r="T220" s="174"/>
      <c r="U220" s="175"/>
      <c r="AC220" s="185"/>
      <c r="AJ220" s="180"/>
      <c r="AK220" s="180"/>
      <c r="AM220" s="177"/>
      <c r="AN220" s="179"/>
    </row>
    <row r="221" spans="1:40">
      <c r="A221" s="174"/>
      <c r="B221" s="175"/>
      <c r="C221" s="176"/>
      <c r="D221" s="176"/>
      <c r="T221" s="177"/>
      <c r="U221" s="175"/>
      <c r="AE221" s="185"/>
      <c r="AF221" s="185"/>
      <c r="AH221" s="185"/>
      <c r="AI221" s="185"/>
      <c r="AJ221" s="180"/>
      <c r="AK221" s="180"/>
      <c r="AM221" s="177"/>
      <c r="AN221" s="179"/>
    </row>
    <row r="222" spans="1:40">
      <c r="A222" s="174"/>
      <c r="B222" s="175"/>
      <c r="C222" s="176"/>
      <c r="D222" s="176"/>
      <c r="T222" s="177"/>
      <c r="U222" s="175"/>
      <c r="AB222" s="185"/>
      <c r="AC222" s="185"/>
      <c r="AJ222" s="180"/>
      <c r="AK222" s="180"/>
      <c r="AM222" s="177"/>
      <c r="AN222" s="179"/>
    </row>
    <row r="223" spans="1:40">
      <c r="A223" s="174"/>
      <c r="B223" s="175"/>
      <c r="C223" s="176"/>
      <c r="D223" s="176"/>
      <c r="T223" s="174"/>
      <c r="U223" s="175"/>
      <c r="Z223" s="185"/>
      <c r="AC223" s="185"/>
      <c r="AJ223" s="180"/>
      <c r="AK223" s="180"/>
      <c r="AM223" s="177"/>
      <c r="AN223" s="179"/>
    </row>
    <row r="224" spans="1:40">
      <c r="A224" s="174"/>
      <c r="B224" s="175"/>
      <c r="C224" s="176"/>
      <c r="D224" s="176"/>
      <c r="T224" s="174"/>
      <c r="U224" s="175"/>
      <c r="Y224" s="185"/>
      <c r="AC224" s="185"/>
      <c r="AJ224" s="180"/>
      <c r="AK224" s="180"/>
      <c r="AM224" s="177"/>
      <c r="AN224" s="179"/>
    </row>
    <row r="225" spans="1:40">
      <c r="A225" s="174"/>
      <c r="B225" s="175"/>
      <c r="C225" s="176"/>
      <c r="D225" s="176"/>
      <c r="T225" s="174"/>
      <c r="U225" s="175"/>
      <c r="Z225" s="185"/>
      <c r="AD225" s="185"/>
      <c r="AJ225" s="180"/>
      <c r="AK225" s="180"/>
      <c r="AM225" s="177"/>
      <c r="AN225" s="179"/>
    </row>
    <row r="226" spans="1:40">
      <c r="A226" s="174"/>
      <c r="B226" s="175"/>
      <c r="C226" s="176"/>
      <c r="D226" s="176"/>
      <c r="T226" s="174"/>
      <c r="U226" s="175"/>
      <c r="AC226" s="185"/>
      <c r="AJ226" s="180"/>
      <c r="AK226" s="180"/>
      <c r="AM226" s="177"/>
      <c r="AN226" s="179"/>
    </row>
    <row r="227" spans="1:40">
      <c r="A227" s="174"/>
      <c r="B227" s="175"/>
      <c r="C227" s="176"/>
      <c r="D227" s="176"/>
      <c r="T227" s="174"/>
      <c r="U227" s="175"/>
      <c r="AD227" s="185"/>
      <c r="AE227" s="185"/>
      <c r="AG227" s="185"/>
      <c r="AH227" s="185"/>
      <c r="AJ227" s="180"/>
      <c r="AK227" s="180"/>
      <c r="AM227" s="177"/>
      <c r="AN227" s="179"/>
    </row>
    <row r="228" spans="1:40">
      <c r="A228" s="174"/>
      <c r="B228" s="175"/>
      <c r="C228" s="176"/>
      <c r="D228" s="176"/>
      <c r="T228" s="174"/>
      <c r="U228" s="175"/>
      <c r="AE228" s="185"/>
      <c r="AG228" s="185"/>
      <c r="AJ228" s="180"/>
      <c r="AK228" s="180"/>
      <c r="AM228" s="177"/>
      <c r="AN228" s="179"/>
    </row>
    <row r="229" spans="1:40">
      <c r="A229" s="174"/>
      <c r="B229" s="175"/>
      <c r="C229" s="176"/>
      <c r="D229" s="176"/>
      <c r="T229" s="177"/>
      <c r="U229" s="175"/>
      <c r="AJ229" s="180"/>
      <c r="AK229" s="180"/>
      <c r="AM229" s="177"/>
      <c r="AN229" s="179"/>
    </row>
    <row r="230" spans="1:40">
      <c r="A230" s="174"/>
      <c r="B230" s="175"/>
      <c r="C230" s="176"/>
      <c r="D230" s="176"/>
      <c r="T230" s="177"/>
      <c r="U230" s="175"/>
      <c r="Y230" s="185"/>
      <c r="Z230" s="185"/>
      <c r="AB230" s="185"/>
      <c r="AC230" s="185"/>
      <c r="AJ230" s="180"/>
      <c r="AK230" s="180"/>
      <c r="AM230" s="177"/>
      <c r="AN230" s="179"/>
    </row>
    <row r="231" spans="1:40">
      <c r="A231" s="174"/>
      <c r="B231" s="175"/>
      <c r="C231" s="176"/>
      <c r="D231" s="176"/>
      <c r="T231" s="174"/>
      <c r="U231" s="175"/>
      <c r="AE231" s="185"/>
      <c r="AH231" s="185"/>
      <c r="AJ231" s="180"/>
      <c r="AK231" s="180"/>
      <c r="AM231" s="177"/>
      <c r="AN231" s="179"/>
    </row>
    <row r="232" spans="1:40">
      <c r="A232" s="174"/>
      <c r="B232" s="175"/>
      <c r="C232" s="176"/>
      <c r="D232" s="176"/>
      <c r="T232" s="174"/>
      <c r="U232" s="175"/>
      <c r="AD232" s="185"/>
      <c r="AE232" s="185"/>
      <c r="AJ232" s="180"/>
      <c r="AK232" s="180"/>
      <c r="AM232" s="177"/>
      <c r="AN232" s="179"/>
    </row>
    <row r="233" spans="1:40">
      <c r="A233" s="174"/>
      <c r="B233" s="175"/>
      <c r="C233" s="176"/>
      <c r="D233" s="176"/>
      <c r="T233" s="174"/>
      <c r="U233" s="175"/>
      <c r="AA233" s="185"/>
      <c r="AJ233" s="180"/>
      <c r="AK233" s="180"/>
      <c r="AM233" s="177"/>
      <c r="AN233" s="179"/>
    </row>
    <row r="234" spans="1:40">
      <c r="A234" s="174"/>
      <c r="B234" s="175"/>
      <c r="C234" s="176"/>
      <c r="D234" s="176"/>
      <c r="T234" s="180"/>
      <c r="U234" s="179"/>
      <c r="AA234" s="185"/>
      <c r="AJ234" s="180"/>
      <c r="AK234" s="180"/>
      <c r="AM234" s="177"/>
      <c r="AN234" s="179"/>
    </row>
    <row r="235" spans="1:40">
      <c r="A235" s="174"/>
      <c r="B235" s="175"/>
      <c r="C235" s="176"/>
      <c r="D235" s="176"/>
      <c r="T235" s="174"/>
      <c r="U235" s="179"/>
      <c r="Y235" s="185"/>
      <c r="Z235" s="185"/>
      <c r="AA235" s="185"/>
      <c r="AB235" s="185"/>
      <c r="AC235" s="185"/>
      <c r="AJ235" s="180"/>
      <c r="AK235" s="180"/>
      <c r="AM235" s="177"/>
      <c r="AN235" s="179"/>
    </row>
    <row r="236" spans="1:40">
      <c r="A236" s="174"/>
      <c r="B236" s="175"/>
      <c r="C236" s="176"/>
      <c r="D236" s="176"/>
      <c r="T236" s="174"/>
      <c r="U236" s="179"/>
      <c r="AA236" s="185"/>
      <c r="AJ236" s="180"/>
      <c r="AK236" s="180"/>
      <c r="AM236" s="177"/>
      <c r="AN236" s="179"/>
    </row>
    <row r="237" spans="1:40">
      <c r="A237" s="177"/>
      <c r="B237" s="175"/>
      <c r="C237" s="176"/>
      <c r="D237" s="176"/>
      <c r="T237" s="177"/>
      <c r="U237" s="179"/>
      <c r="Z237" s="185"/>
      <c r="AA237" s="185"/>
      <c r="AJ237" s="180"/>
      <c r="AK237" s="180"/>
      <c r="AM237" s="177"/>
      <c r="AN237" s="179"/>
    </row>
    <row r="238" spans="1:40">
      <c r="A238" s="177"/>
      <c r="B238" s="175"/>
      <c r="C238" s="176"/>
      <c r="D238" s="176"/>
      <c r="T238" s="177"/>
      <c r="U238" s="179"/>
      <c r="AH238" s="185"/>
      <c r="AJ238" s="180"/>
      <c r="AK238" s="180"/>
      <c r="AM238" s="177"/>
      <c r="AN238" s="179"/>
    </row>
    <row r="239" spans="1:40">
      <c r="A239" s="174"/>
      <c r="B239" s="175"/>
      <c r="C239" s="176"/>
      <c r="D239" s="176"/>
      <c r="AJ239" s="180"/>
      <c r="AK239" s="180"/>
      <c r="AM239" s="177"/>
      <c r="AN239" s="179"/>
    </row>
    <row r="240" spans="1:40">
      <c r="A240" s="174"/>
      <c r="B240" s="175"/>
      <c r="C240" s="176"/>
      <c r="D240" s="176"/>
      <c r="AM240" s="177"/>
      <c r="AN240" s="179"/>
    </row>
    <row r="241" spans="39:42">
      <c r="AM241" s="177"/>
      <c r="AN241" s="179"/>
    </row>
    <row r="242" spans="39:42">
      <c r="AM242" s="177"/>
      <c r="AN242" s="179"/>
    </row>
    <row r="243" spans="39:42">
      <c r="AM243" s="177"/>
      <c r="AN243" s="179"/>
      <c r="AP243" s="187"/>
    </row>
    <row r="244" spans="39:42">
      <c r="AM244" s="177"/>
      <c r="AN244" s="179"/>
    </row>
    <row r="245" spans="39:42">
      <c r="AM245" s="177"/>
      <c r="AN245" s="179"/>
    </row>
    <row r="246" spans="39:42">
      <c r="AM246" s="177"/>
      <c r="AN246" s="179"/>
    </row>
    <row r="247" spans="39:42">
      <c r="AM247" s="177"/>
      <c r="AN247" s="179"/>
    </row>
    <row r="248" spans="39:42">
      <c r="AM248" s="177"/>
      <c r="AN248" s="179"/>
    </row>
    <row r="249" spans="39:42">
      <c r="AM249" s="177"/>
      <c r="AN249" s="179"/>
    </row>
    <row r="250" spans="39:42">
      <c r="AM250" s="177"/>
      <c r="AN250" s="179"/>
    </row>
    <row r="251" spans="39:42">
      <c r="AM251" s="177"/>
      <c r="AN251" s="179"/>
    </row>
    <row r="252" spans="39:42">
      <c r="AM252" s="177"/>
      <c r="AN252" s="179"/>
    </row>
    <row r="253" spans="39:42">
      <c r="AM253" s="177"/>
      <c r="AN253" s="179"/>
    </row>
    <row r="254" spans="39:42">
      <c r="AM254" s="177"/>
      <c r="AN254" s="179"/>
    </row>
    <row r="255" spans="39:42">
      <c r="AM255" s="177"/>
      <c r="AN255" s="179"/>
    </row>
    <row r="256" spans="39:42">
      <c r="AM256" s="177"/>
      <c r="AN256" s="179"/>
    </row>
    <row r="257" spans="39:40">
      <c r="AM257" s="177"/>
      <c r="AN257" s="179"/>
    </row>
    <row r="258" spans="39:40">
      <c r="AM258" s="177"/>
      <c r="AN258" s="179"/>
    </row>
    <row r="259" spans="39:40">
      <c r="AM259" s="177"/>
      <c r="AN259" s="179"/>
    </row>
    <row r="260" spans="39:40">
      <c r="AM260" s="177"/>
      <c r="AN260" s="179"/>
    </row>
    <row r="261" spans="39:40">
      <c r="AM261" s="177"/>
      <c r="AN261" s="179"/>
    </row>
    <row r="262" spans="39:40">
      <c r="AM262" s="177"/>
      <c r="AN262" s="179"/>
    </row>
    <row r="263" spans="39:40">
      <c r="AM263" s="177"/>
      <c r="AN263" s="179"/>
    </row>
    <row r="264" spans="39:40">
      <c r="AM264" s="177"/>
      <c r="AN264" s="179"/>
    </row>
    <row r="265" spans="39:40">
      <c r="AM265" s="177"/>
      <c r="AN265" s="179"/>
    </row>
    <row r="266" spans="39:40">
      <c r="AM266" s="177"/>
      <c r="AN266" s="179"/>
    </row>
    <row r="267" spans="39:40">
      <c r="AM267" s="177"/>
      <c r="AN267" s="179"/>
    </row>
    <row r="268" spans="39:40">
      <c r="AM268" s="177"/>
      <c r="AN268" s="179"/>
    </row>
    <row r="269" spans="39:40">
      <c r="AM269" s="177"/>
      <c r="AN269" s="179"/>
    </row>
    <row r="270" spans="39:40">
      <c r="AM270" s="177"/>
      <c r="AN270" s="179"/>
    </row>
    <row r="271" spans="39:40">
      <c r="AM271" s="177"/>
      <c r="AN271" s="179"/>
    </row>
    <row r="272" spans="39:40">
      <c r="AM272" s="177"/>
      <c r="AN272" s="179"/>
    </row>
    <row r="273" spans="39:40">
      <c r="AM273" s="177"/>
      <c r="AN273" s="179"/>
    </row>
    <row r="274" spans="39:40">
      <c r="AM274" s="177"/>
      <c r="AN274" s="179"/>
    </row>
    <row r="275" spans="39:40">
      <c r="AM275" s="177"/>
      <c r="AN275" s="179"/>
    </row>
    <row r="276" spans="39:40">
      <c r="AM276" s="177"/>
      <c r="AN276" s="179"/>
    </row>
    <row r="277" spans="39:40">
      <c r="AM277" s="177"/>
      <c r="AN277" s="179"/>
    </row>
    <row r="278" spans="39:40">
      <c r="AM278" s="177"/>
      <c r="AN278" s="179"/>
    </row>
    <row r="279" spans="39:40">
      <c r="AM279" s="180"/>
      <c r="AN279" s="179"/>
    </row>
    <row r="280" spans="39:40">
      <c r="AM280" s="180"/>
      <c r="AN280" s="179"/>
    </row>
    <row r="281" spans="39:40">
      <c r="AM281" s="180"/>
      <c r="AN281" s="179"/>
    </row>
    <row r="282" spans="39:40">
      <c r="AM282" s="177"/>
      <c r="AN282" s="179"/>
    </row>
    <row r="283" spans="39:40">
      <c r="AM283" s="177"/>
      <c r="AN283" s="179"/>
    </row>
    <row r="284" spans="39:40">
      <c r="AM284" s="177"/>
      <c r="AN284" s="179"/>
    </row>
    <row r="285" spans="39:40">
      <c r="AM285" s="177"/>
      <c r="AN285" s="179"/>
    </row>
    <row r="286" spans="39:40">
      <c r="AM286" s="177"/>
      <c r="AN286" s="179"/>
    </row>
    <row r="287" spans="39:40">
      <c r="AM287" s="177"/>
      <c r="AN287" s="179"/>
    </row>
    <row r="288" spans="39:40">
      <c r="AM288" s="177"/>
      <c r="AN288" s="179"/>
    </row>
    <row r="289" spans="39:40">
      <c r="AM289" s="177"/>
      <c r="AN289" s="179"/>
    </row>
    <row r="290" spans="39:40">
      <c r="AM290" s="177"/>
      <c r="AN290" s="179"/>
    </row>
    <row r="291" spans="39:40">
      <c r="AM291" s="177"/>
      <c r="AN291" s="179"/>
    </row>
    <row r="292" spans="39:40">
      <c r="AM292" s="177"/>
      <c r="AN292" s="179"/>
    </row>
    <row r="293" spans="39:40">
      <c r="AM293" s="177"/>
      <c r="AN293" s="179"/>
    </row>
    <row r="294" spans="39:40">
      <c r="AM294" s="177"/>
      <c r="AN294" s="179"/>
    </row>
    <row r="295" spans="39:40">
      <c r="AM295" s="177"/>
      <c r="AN295" s="179"/>
    </row>
  </sheetData>
  <protectedRanges>
    <protectedRange sqref="AO52:AO53 AO44:AO45" name="Range1_5_5_3_1_2"/>
    <protectedRange sqref="AP52 AP44:AP45" name="Range1_3_6_19_1_2_1"/>
    <protectedRange sqref="AP35" name="Range1_3_6_19_1_2_2"/>
  </protectedRanges>
  <autoFilter ref="A7:BE73" xr:uid="{00000000-0009-0000-0000-000006000000}"/>
  <mergeCells count="77">
    <mergeCell ref="BD113:BD114"/>
    <mergeCell ref="BD115:BD117"/>
    <mergeCell ref="BD39:BD43"/>
    <mergeCell ref="BD100:BD102"/>
    <mergeCell ref="BD44:BD48"/>
    <mergeCell ref="BD88:BD92"/>
    <mergeCell ref="BD93:BD96"/>
    <mergeCell ref="BD55:BD62"/>
    <mergeCell ref="BD63:BD69"/>
    <mergeCell ref="BD70:BD76"/>
    <mergeCell ref="BD77:BD79"/>
    <mergeCell ref="BD84:BD87"/>
    <mergeCell ref="BD110:BD112"/>
    <mergeCell ref="BD103:BD108"/>
    <mergeCell ref="R69:R73"/>
    <mergeCell ref="AK69:AK70"/>
    <mergeCell ref="BD97:BD99"/>
    <mergeCell ref="BD80:BD83"/>
    <mergeCell ref="BD19:BD22"/>
    <mergeCell ref="BD23:BD25"/>
    <mergeCell ref="R65:R68"/>
    <mergeCell ref="AK65:AK68"/>
    <mergeCell ref="R60:R62"/>
    <mergeCell ref="R63:R64"/>
    <mergeCell ref="U62:U63"/>
    <mergeCell ref="BD31:BD34"/>
    <mergeCell ref="AK20:AK21"/>
    <mergeCell ref="AK22:AK23"/>
    <mergeCell ref="AK62:AK64"/>
    <mergeCell ref="R57:R59"/>
    <mergeCell ref="BD157:BD162"/>
    <mergeCell ref="BD152:BD156"/>
    <mergeCell ref="BD119:BD122"/>
    <mergeCell ref="BD123:BD126"/>
    <mergeCell ref="BD127:BD131"/>
    <mergeCell ref="BD133:BD135"/>
    <mergeCell ref="BD136:BD140"/>
    <mergeCell ref="BD141:BD144"/>
    <mergeCell ref="BD145:BD149"/>
    <mergeCell ref="AK55:AK57"/>
    <mergeCell ref="AK45:AK47"/>
    <mergeCell ref="AK24:AK25"/>
    <mergeCell ref="AK41:AK42"/>
    <mergeCell ref="AK38:AK39"/>
    <mergeCell ref="AK26:AK30"/>
    <mergeCell ref="R47:R54"/>
    <mergeCell ref="R44:R45"/>
    <mergeCell ref="AK52:AK54"/>
    <mergeCell ref="AK32:AK33"/>
    <mergeCell ref="R31:R35"/>
    <mergeCell ref="Q4:Q6"/>
    <mergeCell ref="AM4:AM6"/>
    <mergeCell ref="R8:R9"/>
    <mergeCell ref="D4:D6"/>
    <mergeCell ref="BD13:BD18"/>
    <mergeCell ref="AN4:AN6"/>
    <mergeCell ref="BD4:BD6"/>
    <mergeCell ref="BC4:BC6"/>
    <mergeCell ref="AO4:AO6"/>
    <mergeCell ref="AP4:AP6"/>
    <mergeCell ref="R13:R16"/>
    <mergeCell ref="AM2:BD2"/>
    <mergeCell ref="BD26:BD30"/>
    <mergeCell ref="A2:R2"/>
    <mergeCell ref="T2:AK2"/>
    <mergeCell ref="AJ4:AJ6"/>
    <mergeCell ref="R4:R6"/>
    <mergeCell ref="T4:T6"/>
    <mergeCell ref="U4:U6"/>
    <mergeCell ref="W4:W6"/>
    <mergeCell ref="V4:V6"/>
    <mergeCell ref="A4:A6"/>
    <mergeCell ref="AK4:AK6"/>
    <mergeCell ref="AK9:AK17"/>
    <mergeCell ref="AK18:AK19"/>
    <mergeCell ref="B4:B6"/>
    <mergeCell ref="C4:C6"/>
  </mergeCells>
  <pageMargins left="0" right="0" top="0" bottom="0" header="0" footer="0"/>
  <pageSetup paperSize="9" scale="7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Graphic</vt:lpstr>
      <vt:lpstr>ABC GRADE</vt:lpstr>
      <vt:lpstr>B.Grade</vt:lpstr>
      <vt:lpstr>DONATION</vt:lpstr>
      <vt:lpstr>C.Grade</vt:lpstr>
      <vt:lpstr>Summary DOD by Issue</vt:lpstr>
      <vt:lpstr>Summary by Model </vt:lpstr>
      <vt:lpstr>'Summary DOD by Issue'!Print_Area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QA-QC STAFF</dc:creator>
  <cp:lastModifiedBy>muhammadfaizal</cp:lastModifiedBy>
  <cp:lastPrinted>2022-07-14T02:29:53Z</cp:lastPrinted>
  <dcterms:created xsi:type="dcterms:W3CDTF">2020-01-03T01:41:25Z</dcterms:created>
  <dcterms:modified xsi:type="dcterms:W3CDTF">2023-01-04T23:31:15Z</dcterms:modified>
</cp:coreProperties>
</file>